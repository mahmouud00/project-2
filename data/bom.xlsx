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hmouud\Desktop\"/>
    </mc:Choice>
  </mc:AlternateContent>
  <xr:revisionPtr revIDLastSave="0" documentId="13_ncr:1_{A9D7F82B-EF8C-47A8-9FB3-79ECCF77EBAA}" xr6:coauthVersionLast="47" xr6:coauthVersionMax="47" xr10:uidLastSave="{00000000-0000-0000-0000-000000000000}"/>
  <bookViews>
    <workbookView xWindow="-108" yWindow="-108" windowWidth="23256" windowHeight="12456" tabRatio="731" activeTab="5" xr2:uid="{00000000-000D-0000-FFFF-FFFF00000000}"/>
  </bookViews>
  <sheets>
    <sheet name="المواد الخام" sheetId="1" r:id="rId1"/>
    <sheet name="المنتجات النهائية" sheetId="2" r:id="rId2"/>
    <sheet name="المراحل" sheetId="3" r:id="rId3"/>
    <sheet name="المواد الخام - مفصلة" sheetId="4" r:id="rId4"/>
    <sheet name="مكونات التصنيع " sheetId="5" r:id="rId5"/>
    <sheet name="تخصيمات UPVC" sheetId="8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35" i="8" l="1"/>
  <c r="G632" i="8"/>
  <c r="G633" i="8" s="1"/>
  <c r="G631" i="8"/>
  <c r="G630" i="8"/>
  <c r="G629" i="8"/>
  <c r="G627" i="8"/>
  <c r="G628" i="8" s="1"/>
  <c r="G626" i="8"/>
  <c r="G625" i="8"/>
  <c r="D622" i="8"/>
  <c r="G634" i="8" s="1"/>
  <c r="G621" i="8"/>
  <c r="G619" i="8"/>
  <c r="G616" i="8"/>
  <c r="G617" i="8" s="1"/>
  <c r="G615" i="8"/>
  <c r="G614" i="8"/>
  <c r="G613" i="8"/>
  <c r="G611" i="8"/>
  <c r="G612" i="8" s="1"/>
  <c r="G610" i="8"/>
  <c r="G609" i="8"/>
  <c r="D606" i="8"/>
  <c r="G618" i="8" s="1"/>
  <c r="G605" i="8"/>
  <c r="G603" i="8"/>
  <c r="G600" i="8"/>
  <c r="G601" i="8" s="1"/>
  <c r="G599" i="8"/>
  <c r="G598" i="8"/>
  <c r="G597" i="8"/>
  <c r="G595" i="8"/>
  <c r="G596" i="8" s="1"/>
  <c r="G594" i="8"/>
  <c r="G593" i="8"/>
  <c r="D590" i="8"/>
  <c r="G602" i="8" s="1"/>
  <c r="G589" i="8"/>
  <c r="G587" i="8"/>
  <c r="G584" i="8"/>
  <c r="G585" i="8" s="1"/>
  <c r="G583" i="8"/>
  <c r="G582" i="8"/>
  <c r="G581" i="8"/>
  <c r="G579" i="8"/>
  <c r="G580" i="8" s="1"/>
  <c r="G578" i="8"/>
  <c r="G577" i="8"/>
  <c r="D574" i="8"/>
  <c r="G586" i="8" s="1"/>
  <c r="G573" i="8"/>
  <c r="G571" i="8"/>
  <c r="G568" i="8"/>
  <c r="G569" i="8" s="1"/>
  <c r="G567" i="8"/>
  <c r="G566" i="8"/>
  <c r="G565" i="8"/>
  <c r="G563" i="8"/>
  <c r="G564" i="8" s="1"/>
  <c r="G562" i="8"/>
  <c r="G561" i="8"/>
  <c r="D558" i="8"/>
  <c r="G570" i="8" s="1"/>
  <c r="G557" i="8"/>
  <c r="G550" i="8"/>
  <c r="G547" i="8"/>
  <c r="G549" i="8" s="1"/>
  <c r="G546" i="8"/>
  <c r="G548" i="8" s="1"/>
  <c r="E542" i="8"/>
  <c r="G538" i="8"/>
  <c r="G535" i="8"/>
  <c r="G537" i="8" s="1"/>
  <c r="G534" i="8"/>
  <c r="G536" i="8" s="1"/>
  <c r="E530" i="8"/>
  <c r="G526" i="8"/>
  <c r="G523" i="8"/>
  <c r="G525" i="8" s="1"/>
  <c r="G522" i="8"/>
  <c r="G524" i="8" s="1"/>
  <c r="E518" i="8"/>
  <c r="G509" i="8"/>
  <c r="G511" i="8" s="1"/>
  <c r="F508" i="8"/>
  <c r="G508" i="8" s="1"/>
  <c r="G510" i="8" s="1"/>
  <c r="D505" i="8"/>
  <c r="E504" i="8"/>
  <c r="G498" i="8"/>
  <c r="G500" i="8" s="1"/>
  <c r="G497" i="8"/>
  <c r="G499" i="8" s="1"/>
  <c r="D494" i="8"/>
  <c r="E493" i="8"/>
  <c r="G486" i="8"/>
  <c r="G485" i="8"/>
  <c r="F482" i="8"/>
  <c r="D482" i="8"/>
  <c r="G481" i="8"/>
  <c r="E481" i="8"/>
  <c r="G473" i="8"/>
  <c r="G472" i="8"/>
  <c r="F469" i="8"/>
  <c r="D469" i="8"/>
  <c r="G468" i="8"/>
  <c r="E468" i="8"/>
  <c r="G462" i="8"/>
  <c r="G459" i="8"/>
  <c r="G461" i="8" s="1"/>
  <c r="G458" i="8"/>
  <c r="G460" i="8" s="1"/>
  <c r="E454" i="8"/>
  <c r="G451" i="8"/>
  <c r="G448" i="8"/>
  <c r="G450" i="8" s="1"/>
  <c r="G447" i="8"/>
  <c r="G449" i="8" s="1"/>
  <c r="E443" i="8"/>
  <c r="G440" i="8"/>
  <c r="G437" i="8"/>
  <c r="G439" i="8" s="1"/>
  <c r="G436" i="8"/>
  <c r="G438" i="8" s="1"/>
  <c r="E432" i="8"/>
  <c r="G429" i="8"/>
  <c r="G426" i="8"/>
  <c r="G428" i="8" s="1"/>
  <c r="G425" i="8"/>
  <c r="G427" i="8" s="1"/>
  <c r="E421" i="8"/>
  <c r="G418" i="8"/>
  <c r="G415" i="8"/>
  <c r="G417" i="8" s="1"/>
  <c r="G414" i="8"/>
  <c r="G416" i="8" s="1"/>
  <c r="E410" i="8"/>
  <c r="G407" i="8"/>
  <c r="G404" i="8"/>
  <c r="G406" i="8" s="1"/>
  <c r="G403" i="8"/>
  <c r="G405" i="8" s="1"/>
  <c r="E399" i="8"/>
  <c r="G393" i="8"/>
  <c r="G388" i="8"/>
  <c r="G390" i="8" s="1"/>
  <c r="F387" i="8"/>
  <c r="G387" i="8" s="1"/>
  <c r="D384" i="8"/>
  <c r="E383" i="8"/>
  <c r="G371" i="8"/>
  <c r="G376" i="8" s="1"/>
  <c r="F370" i="8"/>
  <c r="G370" i="8" s="1"/>
  <c r="G375" i="8" s="1"/>
  <c r="G367" i="8"/>
  <c r="F366" i="8"/>
  <c r="G366" i="8" s="1"/>
  <c r="D363" i="8"/>
  <c r="E362" i="8"/>
  <c r="G350" i="8"/>
  <c r="G355" i="8" s="1"/>
  <c r="F349" i="8"/>
  <c r="G349" i="8" s="1"/>
  <c r="G354" i="8" s="1"/>
  <c r="G346" i="8"/>
  <c r="F345" i="8"/>
  <c r="G345" i="8" s="1"/>
  <c r="D342" i="8"/>
  <c r="E341" i="8"/>
  <c r="G332" i="8"/>
  <c r="G331" i="8"/>
  <c r="D328" i="8"/>
  <c r="E327" i="8"/>
  <c r="G318" i="8"/>
  <c r="G317" i="8"/>
  <c r="D314" i="8"/>
  <c r="E313" i="8"/>
  <c r="G304" i="8"/>
  <c r="G303" i="8"/>
  <c r="D300" i="8"/>
  <c r="E299" i="8"/>
  <c r="G287" i="8"/>
  <c r="F286" i="8"/>
  <c r="G286" i="8" s="1"/>
  <c r="D283" i="8"/>
  <c r="E282" i="8"/>
  <c r="G270" i="8"/>
  <c r="F269" i="8"/>
  <c r="G269" i="8" s="1"/>
  <c r="D266" i="8"/>
  <c r="E265" i="8"/>
  <c r="G253" i="8"/>
  <c r="F252" i="8"/>
  <c r="G252" i="8" s="1"/>
  <c r="D249" i="8"/>
  <c r="E248" i="8"/>
  <c r="G239" i="8"/>
  <c r="G238" i="8"/>
  <c r="D235" i="8"/>
  <c r="E234" i="8"/>
  <c r="G225" i="8"/>
  <c r="G224" i="8"/>
  <c r="D221" i="8"/>
  <c r="E220" i="8"/>
  <c r="G211" i="8"/>
  <c r="G210" i="8"/>
  <c r="D207" i="8"/>
  <c r="E206" i="8"/>
  <c r="G199" i="8"/>
  <c r="G198" i="8"/>
  <c r="F195" i="8"/>
  <c r="D195" i="8"/>
  <c r="G194" i="8"/>
  <c r="E194" i="8"/>
  <c r="G187" i="8"/>
  <c r="G186" i="8"/>
  <c r="F183" i="8"/>
  <c r="D183" i="8"/>
  <c r="G182" i="8"/>
  <c r="E182" i="8"/>
  <c r="G175" i="8"/>
  <c r="G174" i="8"/>
  <c r="F171" i="8"/>
  <c r="D171" i="8"/>
  <c r="G170" i="8"/>
  <c r="E170" i="8"/>
  <c r="G163" i="8"/>
  <c r="G162" i="8"/>
  <c r="F159" i="8"/>
  <c r="D159" i="8"/>
  <c r="G158" i="8"/>
  <c r="E158" i="8"/>
  <c r="G151" i="8"/>
  <c r="G150" i="8"/>
  <c r="F147" i="8"/>
  <c r="D147" i="8"/>
  <c r="G146" i="8"/>
  <c r="E146" i="8"/>
  <c r="G139" i="8"/>
  <c r="G138" i="8"/>
  <c r="F135" i="8"/>
  <c r="D135" i="8"/>
  <c r="G134" i="8"/>
  <c r="E134" i="8"/>
  <c r="G127" i="8"/>
  <c r="G129" i="8" s="1"/>
  <c r="G126" i="8"/>
  <c r="G128" i="8" s="1"/>
  <c r="E122" i="8"/>
  <c r="G119" i="8"/>
  <c r="G116" i="8"/>
  <c r="G118" i="8" s="1"/>
  <c r="G115" i="8"/>
  <c r="G117" i="8" s="1"/>
  <c r="E111" i="8"/>
  <c r="G107" i="8"/>
  <c r="G105" i="8"/>
  <c r="G104" i="8"/>
  <c r="G106" i="8" s="1"/>
  <c r="G103" i="8"/>
  <c r="E99" i="8"/>
  <c r="G92" i="8"/>
  <c r="G94" i="8" s="1"/>
  <c r="G91" i="8"/>
  <c r="G93" i="8" s="1"/>
  <c r="E87" i="8"/>
  <c r="G74" i="8"/>
  <c r="F73" i="8"/>
  <c r="G73" i="8" s="1"/>
  <c r="E69" i="8"/>
  <c r="G57" i="8"/>
  <c r="F56" i="8"/>
  <c r="G56" i="8" s="1"/>
  <c r="E52" i="8"/>
  <c r="G43" i="8"/>
  <c r="G42" i="8"/>
  <c r="D39" i="8"/>
  <c r="E38" i="8"/>
  <c r="G31" i="8"/>
  <c r="G30" i="8"/>
  <c r="F27" i="8"/>
  <c r="D27" i="8" s="1"/>
  <c r="G26" i="8"/>
  <c r="E26" i="8" s="1"/>
  <c r="G19" i="8"/>
  <c r="G18" i="8"/>
  <c r="F15" i="8"/>
  <c r="D15" i="8" s="1"/>
  <c r="G14" i="8"/>
  <c r="E14" i="8"/>
  <c r="G7" i="8"/>
  <c r="G6" i="8"/>
  <c r="F3" i="8"/>
  <c r="D3" i="8" s="1"/>
  <c r="G2" i="8"/>
  <c r="E2" i="8" s="1"/>
  <c r="G490" i="8" l="1"/>
  <c r="G488" i="8"/>
  <c r="G489" i="8"/>
  <c r="G487" i="8"/>
  <c r="G477" i="8"/>
  <c r="G475" i="8"/>
  <c r="G476" i="8"/>
  <c r="G474" i="8"/>
  <c r="G389" i="8"/>
  <c r="G392" i="8"/>
  <c r="G373" i="8"/>
  <c r="G369" i="8"/>
  <c r="G368" i="8"/>
  <c r="G372" i="8"/>
  <c r="G352" i="8"/>
  <c r="G348" i="8"/>
  <c r="G347" i="8"/>
  <c r="G351" i="8"/>
  <c r="G337" i="8"/>
  <c r="G334" i="8"/>
  <c r="G336" i="8"/>
  <c r="G333" i="8"/>
  <c r="G323" i="8"/>
  <c r="G320" i="8"/>
  <c r="G322" i="8"/>
  <c r="G319" i="8"/>
  <c r="G306" i="8"/>
  <c r="G309" i="8"/>
  <c r="G305" i="8"/>
  <c r="G308" i="8"/>
  <c r="G289" i="8"/>
  <c r="G292" i="8"/>
  <c r="G288" i="8"/>
  <c r="G291" i="8"/>
  <c r="G272" i="8"/>
  <c r="G275" i="8"/>
  <c r="G271" i="8"/>
  <c r="G274" i="8"/>
  <c r="G258" i="8"/>
  <c r="G255" i="8"/>
  <c r="G254" i="8"/>
  <c r="G257" i="8"/>
  <c r="G244" i="8"/>
  <c r="G241" i="8"/>
  <c r="G240" i="8"/>
  <c r="G243" i="8"/>
  <c r="G230" i="8"/>
  <c r="G227" i="8"/>
  <c r="G226" i="8"/>
  <c r="G229" i="8"/>
  <c r="G213" i="8"/>
  <c r="G216" i="8"/>
  <c r="G215" i="8"/>
  <c r="G212" i="8"/>
  <c r="G203" i="8"/>
  <c r="G201" i="8"/>
  <c r="G200" i="8"/>
  <c r="G202" i="8"/>
  <c r="G189" i="8"/>
  <c r="G191" i="8"/>
  <c r="G188" i="8"/>
  <c r="G190" i="8"/>
  <c r="G179" i="8"/>
  <c r="G177" i="8"/>
  <c r="G178" i="8"/>
  <c r="G176" i="8"/>
  <c r="G167" i="8"/>
  <c r="G165" i="8"/>
  <c r="G166" i="8"/>
  <c r="G164" i="8"/>
  <c r="G153" i="8"/>
  <c r="G155" i="8"/>
  <c r="G154" i="8"/>
  <c r="G152" i="8"/>
  <c r="G143" i="8"/>
  <c r="G141" i="8"/>
  <c r="G142" i="8"/>
  <c r="G140" i="8"/>
  <c r="G79" i="8"/>
  <c r="G76" i="8"/>
  <c r="G75" i="8"/>
  <c r="G78" i="8"/>
  <c r="G59" i="8"/>
  <c r="G62" i="8"/>
  <c r="G58" i="8"/>
  <c r="G61" i="8"/>
  <c r="G45" i="8"/>
  <c r="G48" i="8"/>
  <c r="G47" i="8"/>
  <c r="G44" i="8"/>
  <c r="G35" i="8"/>
  <c r="G33" i="8"/>
  <c r="G32" i="8"/>
  <c r="G34" i="8"/>
  <c r="G21" i="8"/>
  <c r="G23" i="8"/>
  <c r="G22" i="8"/>
  <c r="G20" i="8"/>
  <c r="G9" i="8"/>
  <c r="G11" i="8"/>
  <c r="G8" i="8"/>
  <c r="G10" i="8"/>
</calcChain>
</file>

<file path=xl/sharedStrings.xml><?xml version="1.0" encoding="utf-8"?>
<sst xmlns="http://schemas.openxmlformats.org/spreadsheetml/2006/main" count="17185" uniqueCount="2955">
  <si>
    <t>اسم المنتج</t>
  </si>
  <si>
    <t>الفئة</t>
  </si>
  <si>
    <t>الرقم المرجعي</t>
  </si>
  <si>
    <t>حلق مفصلي بدون بار - أبيض / بيج</t>
  </si>
  <si>
    <t>نظام المفصلي</t>
  </si>
  <si>
    <t>KL610-WB</t>
  </si>
  <si>
    <t>حلق مفصلي ببار 5 سم - أبيض / بيج</t>
  </si>
  <si>
    <t>KL611-WB</t>
  </si>
  <si>
    <t>حلق مفصلي ببار مقلوب 5 سم - أبيض / بيج</t>
  </si>
  <si>
    <t>K1612-WB</t>
  </si>
  <si>
    <t>ضلفة شباك مفصلي - أبيض / بيج</t>
  </si>
  <si>
    <t>K1613-WB</t>
  </si>
  <si>
    <t>ضلفة باب مفصلي فتح للداخل - أبيض / بيج</t>
  </si>
  <si>
    <t>K1615-WB</t>
  </si>
  <si>
    <t>ضلفة باب مفصلي فتح للخارج - أبيض / بيج</t>
  </si>
  <si>
    <t>KL616-WB</t>
  </si>
  <si>
    <t>سقاس مفصلي - أبيض / بيج</t>
  </si>
  <si>
    <t>KI614-WB</t>
  </si>
  <si>
    <t>بوكلير مفصلي - أبيض / بيج</t>
  </si>
  <si>
    <t>K1617-WB</t>
  </si>
  <si>
    <t>باكتة سنجل مفصلي - أبيض / بيج</t>
  </si>
  <si>
    <t>KI618-WB</t>
  </si>
  <si>
    <t>باكتة دبل مفصلي - أبيض / بيج</t>
  </si>
  <si>
    <t>KI619-WB</t>
  </si>
  <si>
    <t>بانل 15 سم - أبيض / بيج</t>
  </si>
  <si>
    <t>KL310-WB</t>
  </si>
  <si>
    <t>حلق 2 مجرى ببار 5 سم - أبيض / بيج</t>
  </si>
  <si>
    <t>نظام الجرار</t>
  </si>
  <si>
    <t>KI-S731-WB</t>
  </si>
  <si>
    <t>حلق 3 مجرى بدون بار - أبيض / بيج</t>
  </si>
  <si>
    <t>kl-S732-WB</t>
  </si>
  <si>
    <t>حلق 3 مجرى ببار 5 سم - أبيض / بيج</t>
  </si>
  <si>
    <t>KI-S733-WB</t>
  </si>
  <si>
    <t>ضلفة جرار كبيرة - أبيض / بيج</t>
  </si>
  <si>
    <t>KI-S735-WB</t>
  </si>
  <si>
    <t>باكتة سنجل جرار - أبيض / بيج</t>
  </si>
  <si>
    <t>KL-S738-WB</t>
  </si>
  <si>
    <t>باكتة دبل جرار - أبيض / بيج</t>
  </si>
  <si>
    <t>KL-S737-WB</t>
  </si>
  <si>
    <t>طبة + سكينة - أبيض / بيج</t>
  </si>
  <si>
    <t>KL-S336-WB</t>
  </si>
  <si>
    <t>ضلفة سلك كبيرة - أبيض / بيج</t>
  </si>
  <si>
    <t>KL-S739-WB</t>
  </si>
  <si>
    <t>سقاس جرار - أبيض / بيج</t>
  </si>
  <si>
    <t>KL-S514-WB</t>
  </si>
  <si>
    <t>حلق جرار 3 ضلفة زجاج - أبيض / بيج</t>
  </si>
  <si>
    <t>KL-S734-WB</t>
  </si>
  <si>
    <t>سواس ضلفة سلك - أبيض / بيج</t>
  </si>
  <si>
    <t>KL-S741-WB</t>
  </si>
  <si>
    <t>حلق مفصلي بدون بار - خشبي</t>
  </si>
  <si>
    <t>KL610-WD</t>
  </si>
  <si>
    <t>حلق مفصلي ببار 5 سم - خشبي</t>
  </si>
  <si>
    <t>KL611-WD</t>
  </si>
  <si>
    <t>حلق مفصلي ببار مقلوب 5 سم - خشبي</t>
  </si>
  <si>
    <t>K1612-WD</t>
  </si>
  <si>
    <t>ضلفة شباك مفصلي - خشبي</t>
  </si>
  <si>
    <t>K1613-WD</t>
  </si>
  <si>
    <t>ضلفة باب مفصلي فتح للداخل - خشبي</t>
  </si>
  <si>
    <t>K1615-WD</t>
  </si>
  <si>
    <t>ضلفة باب مفصلي فتح للخارج - خشبي</t>
  </si>
  <si>
    <t>KI616-WD</t>
  </si>
  <si>
    <t>سقاس مفصلي - خشبي</t>
  </si>
  <si>
    <t>K1614-WD</t>
  </si>
  <si>
    <t>بوكلير مفصلي - خشبي</t>
  </si>
  <si>
    <t>K1617-WD</t>
  </si>
  <si>
    <t>باكتة سنجل مفصلي - خشبي</t>
  </si>
  <si>
    <t>K1618-WD</t>
  </si>
  <si>
    <t>باكتة دبل مفصلي - خشبي</t>
  </si>
  <si>
    <t>K1619-WD</t>
  </si>
  <si>
    <t>بانل 15 سم - خشبي</t>
  </si>
  <si>
    <t>KL310-WD</t>
  </si>
  <si>
    <t>حلق 2 مجرى ببار 5 سم - خشبي</t>
  </si>
  <si>
    <t>KI-S731-WD</t>
  </si>
  <si>
    <t>حلق 3 مجرى بدون بار - خشبي</t>
  </si>
  <si>
    <t>kl-S732-WD</t>
  </si>
  <si>
    <t>حلق 3 مجرى ببار 5 سم - خشبي</t>
  </si>
  <si>
    <t>KI-S733-WD</t>
  </si>
  <si>
    <t>ضلفة جرار كبيرة - خشبي</t>
  </si>
  <si>
    <t>KI-S735-WD</t>
  </si>
  <si>
    <t>باكتة سنجل جرار - خشبي</t>
  </si>
  <si>
    <t>KL-S738-WD</t>
  </si>
  <si>
    <t>باكتة دبل جرار - خشبي</t>
  </si>
  <si>
    <t>KL-S737-WD</t>
  </si>
  <si>
    <t>طبة + سكينة - خشبي</t>
  </si>
  <si>
    <t>KL-S336-WD</t>
  </si>
  <si>
    <t>ضلفة سلك كبيرة - خشبي</t>
  </si>
  <si>
    <t>KL-S739-WD</t>
  </si>
  <si>
    <t>سقاس جرار - خشبي</t>
  </si>
  <si>
    <t>KL-S514-WD</t>
  </si>
  <si>
    <t>حلق جرار 3 ضلفة زجاج - خشبي</t>
  </si>
  <si>
    <t>KL-S734-WD</t>
  </si>
  <si>
    <t>سؤاس ضلفة سلك - خشبي</t>
  </si>
  <si>
    <t>41KL-S7-WD</t>
  </si>
  <si>
    <t>حلق مفصلي بدون بار - جراي / أسود</t>
  </si>
  <si>
    <t>KL610-GS</t>
  </si>
  <si>
    <t>حلق مفصلي ببار 5 سم - جراي / أسود</t>
  </si>
  <si>
    <t>KL611-GS</t>
  </si>
  <si>
    <t>حلق مفصلي ببار مقلوب 5 سم - جراي / أسود</t>
  </si>
  <si>
    <t>K1612-GS</t>
  </si>
  <si>
    <t>ضلفة شباك مفصلي - جراي / أسود</t>
  </si>
  <si>
    <t>K1613-GS</t>
  </si>
  <si>
    <t>ضلفة باب مفصلي فتح للداخل - جراي / أسود</t>
  </si>
  <si>
    <t>K1615-GS</t>
  </si>
  <si>
    <t>ضلفة باب مفصلي فتح للخارج - جراي / أسود</t>
  </si>
  <si>
    <t>KI616-GS</t>
  </si>
  <si>
    <t>سقاس مفصلي - جراي / أسود</t>
  </si>
  <si>
    <t>K1614-GS</t>
  </si>
  <si>
    <t>بوكلير مفصلي - جراي / أسود</t>
  </si>
  <si>
    <t>K1617-GS</t>
  </si>
  <si>
    <t>باكتة سنجل مفصلي - جراي / أسود</t>
  </si>
  <si>
    <t>K1618-GS</t>
  </si>
  <si>
    <t>باكتة دبل مفصلي - جراي / أسود</t>
  </si>
  <si>
    <t>K1619-GS</t>
  </si>
  <si>
    <t>بانل 15 سم - جراي / أسود</t>
  </si>
  <si>
    <t>KL310-GS</t>
  </si>
  <si>
    <t>حلق 2 مجرى ببار 5 سم - جراي / أسود</t>
  </si>
  <si>
    <t>KI-S731-GS</t>
  </si>
  <si>
    <t>حلق 3 مجرى بدون بار - جراي / أسود</t>
  </si>
  <si>
    <t>kl-S732-GS</t>
  </si>
  <si>
    <t>حلق 3 مجرى ببار 5 سم - جراي / أسود</t>
  </si>
  <si>
    <t>KI-S733-GS</t>
  </si>
  <si>
    <t>ضلفة جرار كبيرة - جراي / أسود</t>
  </si>
  <si>
    <t>KI-S735-GS</t>
  </si>
  <si>
    <t>باكتة سنجل جرار - جراي / أسود</t>
  </si>
  <si>
    <t>KL-S738-GS</t>
  </si>
  <si>
    <t>باكتة دبل جرار - جراي / أسود</t>
  </si>
  <si>
    <t>KL-S737-GS</t>
  </si>
  <si>
    <t>طبة + سكينة - جراي / أسود</t>
  </si>
  <si>
    <t>KL-S336-GS</t>
  </si>
  <si>
    <t>ضلفة سلك كبيرة - جراي / أسود</t>
  </si>
  <si>
    <t>KL-S739-GS</t>
  </si>
  <si>
    <t>سقاس جرار - جراي / أسود</t>
  </si>
  <si>
    <t>KL-S514-GS</t>
  </si>
  <si>
    <t>حلق جرار 3 ضلفة زجاج - جراي / أسود</t>
  </si>
  <si>
    <t>KL-S734-GS</t>
  </si>
  <si>
    <t>سؤاس ضلفة سلك - جراي / أسود</t>
  </si>
  <si>
    <t>41KL-S7-GS</t>
  </si>
  <si>
    <t>ماسورة CRP - أبيض / بيج</t>
  </si>
  <si>
    <t>القطاعات التكميلية</t>
  </si>
  <si>
    <t>K1314-WB</t>
  </si>
  <si>
    <t>ماسورة CRP - خشبي</t>
  </si>
  <si>
    <t>K1314-WD</t>
  </si>
  <si>
    <t>ماسورة CRP - جراي / أسود</t>
  </si>
  <si>
    <t>K1314-GS</t>
  </si>
  <si>
    <t>كورنر CRP - أبيض / بيج</t>
  </si>
  <si>
    <t>K1315-WB</t>
  </si>
  <si>
    <t>كورنر CRP - خشبي</t>
  </si>
  <si>
    <t>K1315-WD</t>
  </si>
  <si>
    <t>كورنر CRP - جراي / أسود</t>
  </si>
  <si>
    <t>K1315-GS</t>
  </si>
  <si>
    <t>برور خارجي كلبس - أبيض / بيج</t>
  </si>
  <si>
    <t>KL311-WB</t>
  </si>
  <si>
    <t>برور خارجي كلبس - خشبي</t>
  </si>
  <si>
    <t>KL311-WD</t>
  </si>
  <si>
    <t>برور خارجي كلبس - جراي / أسود</t>
  </si>
  <si>
    <t>KL311-GS</t>
  </si>
  <si>
    <t>برور 96 - أبيض / بيج</t>
  </si>
  <si>
    <t>KL315-WB</t>
  </si>
  <si>
    <t>برور 96 - خشبي</t>
  </si>
  <si>
    <t>KL315-WD</t>
  </si>
  <si>
    <t>برور 96 - جراي / أسود</t>
  </si>
  <si>
    <t>KL315-GS</t>
  </si>
  <si>
    <t>كوبلن - أبيض / بيج</t>
  </si>
  <si>
    <t>KL312-WB</t>
  </si>
  <si>
    <t>كوبلن - خشبي</t>
  </si>
  <si>
    <t>KL312-WD</t>
  </si>
  <si>
    <t>كوبلن - جراي / أسود</t>
  </si>
  <si>
    <t>KL312-GS</t>
  </si>
  <si>
    <t>تجميع ثابت مع جرار - أبيض / بيج</t>
  </si>
  <si>
    <t>K1313-WB</t>
  </si>
  <si>
    <t>تجميع ثابت مع جرار - خشبي</t>
  </si>
  <si>
    <t>K1313-WD</t>
  </si>
  <si>
    <t>تجميع ثابت مع جرار - جراي / أسود</t>
  </si>
  <si>
    <t>K1313-GS</t>
  </si>
  <si>
    <t>علبة سم 7.5 × سم 7.5 - أبيض / بيج</t>
  </si>
  <si>
    <t>K1317-WB</t>
  </si>
  <si>
    <t>علبة سم 7.5 × سم 7.5 - خشبي</t>
  </si>
  <si>
    <t>K1317-WD</t>
  </si>
  <si>
    <t>علبة سم 7.5 × سم 7.5 - جراي / أسود</t>
  </si>
  <si>
    <t>K1317-GS</t>
  </si>
  <si>
    <t>تراك ضلفة سلك لطش - أبيض / بيج</t>
  </si>
  <si>
    <t>K1318-WB</t>
  </si>
  <si>
    <t>تراك ضلفة سلك لطش - خشبي</t>
  </si>
  <si>
    <t>K1318-WD</t>
  </si>
  <si>
    <t>تراك ضلفة سلك لطش - جراي / أسود</t>
  </si>
  <si>
    <t>K1318-GS</t>
  </si>
  <si>
    <t>حلق مفصلي بدون برور - أبيض / بيج</t>
  </si>
  <si>
    <t>المفصلي (أبيض/بيج)</t>
  </si>
  <si>
    <t>KP-W1</t>
  </si>
  <si>
    <t>حلق مفصلي ببرور 3.8 سم - أبيض / بيج</t>
  </si>
  <si>
    <t>KP-W2</t>
  </si>
  <si>
    <t>حلق مفصلي ببرور كبير 6 سم - أبيض / بيج</t>
  </si>
  <si>
    <t>KP-W3</t>
  </si>
  <si>
    <t>حلق مفصلي ببار 6 سم مقلوب - أبيض / بيج</t>
  </si>
  <si>
    <t>KP-W4</t>
  </si>
  <si>
    <t>KP-W5</t>
  </si>
  <si>
    <t>KP-W6</t>
  </si>
  <si>
    <t>KP-W7</t>
  </si>
  <si>
    <t>KP-W8</t>
  </si>
  <si>
    <t>KP-W9</t>
  </si>
  <si>
    <t>KP-W10</t>
  </si>
  <si>
    <t>KP-W11</t>
  </si>
  <si>
    <t>بانل 10 سم - أبيض / بيج</t>
  </si>
  <si>
    <t>KP-W12</t>
  </si>
  <si>
    <t>حلق جرار 2 مجرى بدون برور - أبيض / بيج</t>
  </si>
  <si>
    <t>الجرار (أبيض/بيج)</t>
  </si>
  <si>
    <t>KP-WG1</t>
  </si>
  <si>
    <t>حلق جرار 2 مجرى ببرور - أبيض / بيج</t>
  </si>
  <si>
    <t>KP-WG2</t>
  </si>
  <si>
    <t>حلق جرار 3 مجرى بدون برور - أبيض / بيج</t>
  </si>
  <si>
    <t>KP-WG3</t>
  </si>
  <si>
    <t>KP-WG4</t>
  </si>
  <si>
    <t>حلق جرار 3 مجرى ببرور 6 سم - أبيض / بيج</t>
  </si>
  <si>
    <t>KP-WG5</t>
  </si>
  <si>
    <t>حلق جرار 3 مجرى ببرور 4 سم - أبيض / بيج</t>
  </si>
  <si>
    <t>KP-WG6</t>
  </si>
  <si>
    <t>ضلفة شباك جرار - أبيض / بيج</t>
  </si>
  <si>
    <t>KP-WG7</t>
  </si>
  <si>
    <t>KP-WG8</t>
  </si>
  <si>
    <t>حلق مونوريل - أبيض / بيج</t>
  </si>
  <si>
    <t>KP-WG9</t>
  </si>
  <si>
    <t>سقاس مونو ريل - أبيض / بيج</t>
  </si>
  <si>
    <t>KP-WG10</t>
  </si>
  <si>
    <t>KP-WG11</t>
  </si>
  <si>
    <t>KP-WG12</t>
  </si>
  <si>
    <t>KP-WG13</t>
  </si>
  <si>
    <t>KP-WG14</t>
  </si>
  <si>
    <t>طبة + سكينة كبيرة - أبيض / بيج</t>
  </si>
  <si>
    <t>KP-WG15</t>
  </si>
  <si>
    <t>ضلفة سلك - أبيض / بيج</t>
  </si>
  <si>
    <t>KP-WG16</t>
  </si>
  <si>
    <t>KP-WG17</t>
  </si>
  <si>
    <t>سقاس ضلفة سلك - أبيض / بيج</t>
  </si>
  <si>
    <t>KP-WG18</t>
  </si>
  <si>
    <t>تراك ألمونيوم - أبيض / بيج</t>
  </si>
  <si>
    <t>KP-WG19</t>
  </si>
  <si>
    <t>تراك سلك لطش (مفصلي وجرار) - أبيض / بيج</t>
  </si>
  <si>
    <t>KP-WG20</t>
  </si>
  <si>
    <t>حلق مفصلي بدون برور - خشابي</t>
  </si>
  <si>
    <t>المفصلي (خشابي)</t>
  </si>
  <si>
    <t>KP-D1</t>
  </si>
  <si>
    <t>حلق مفصلي ببرور 3.8 سم - خشابي</t>
  </si>
  <si>
    <t>KP-D2</t>
  </si>
  <si>
    <t>حلق مفصلي ببار مقلوب 6 سم - خشابي</t>
  </si>
  <si>
    <t>KP-D3</t>
  </si>
  <si>
    <t>حلق مفصلي ببرور كبير 6 سم - خشابي</t>
  </si>
  <si>
    <t>KP-D4</t>
  </si>
  <si>
    <t>ضلفة شباك مفصلي - خشابي</t>
  </si>
  <si>
    <t>KP-D5</t>
  </si>
  <si>
    <t>ضلفة باب مفصلي فتح للداخل - خشابي</t>
  </si>
  <si>
    <t>KP-D6</t>
  </si>
  <si>
    <t>ضلفة باب مفصلي فتح للخارج - خشابي</t>
  </si>
  <si>
    <t>KP-D7</t>
  </si>
  <si>
    <t>باكتة سنجل مفصلي - خشابي</t>
  </si>
  <si>
    <t>KP-D8</t>
  </si>
  <si>
    <t>باكتة دبل مفصلي - خشابي</t>
  </si>
  <si>
    <t>KP-D9</t>
  </si>
  <si>
    <t>سقاس مفصلي - خشابي</t>
  </si>
  <si>
    <t>KP-D10</t>
  </si>
  <si>
    <t>بوكلير مفصلي - خشابي</t>
  </si>
  <si>
    <t>KP-D11</t>
  </si>
  <si>
    <t>بانل 10 سم - خشابي</t>
  </si>
  <si>
    <t>KP-D12</t>
  </si>
  <si>
    <t>حلق جرار 2 مجرى ببرور - خشابي</t>
  </si>
  <si>
    <t>الجرار (خشابي)</t>
  </si>
  <si>
    <t>KP-DG1</t>
  </si>
  <si>
    <t>حلق جرار 3 مجرى بدون برور - خشابي</t>
  </si>
  <si>
    <t>KP-DG2</t>
  </si>
  <si>
    <t>حلق جرار 3 مجرى ببرور 4 سم - خشابي</t>
  </si>
  <si>
    <t>KP-DG3</t>
  </si>
  <si>
    <t>حلق جرار 3 مجرى ببرور 6 سم - خشابي</t>
  </si>
  <si>
    <t>KP-DG4</t>
  </si>
  <si>
    <t>حلق جرار 3 مجرى ضلف زجاج - خشابي</t>
  </si>
  <si>
    <t>KP-DG5</t>
  </si>
  <si>
    <t>ضلفة شباك جرار - خشابي</t>
  </si>
  <si>
    <t>KP-DG6</t>
  </si>
  <si>
    <t>ضلفة جرار كبيرة - خشابي</t>
  </si>
  <si>
    <t>KP-DG7</t>
  </si>
  <si>
    <t>حلق مونوريل - خشابي</t>
  </si>
  <si>
    <t>KP-DG8</t>
  </si>
  <si>
    <t>سقاس مونو ريل - خشابي</t>
  </si>
  <si>
    <t>KP-DG9</t>
  </si>
  <si>
    <t>سقاس جرار - خشابي</t>
  </si>
  <si>
    <t>KP-DG10</t>
  </si>
  <si>
    <t>باكتة سنجل جرار - خشابي</t>
  </si>
  <si>
    <t>KP-DG11</t>
  </si>
  <si>
    <t>باكتة دبل جرار - خشابي</t>
  </si>
  <si>
    <t>KP-DG12</t>
  </si>
  <si>
    <t>طبة + سكينة - خشابي</t>
  </si>
  <si>
    <t>KP-DG13</t>
  </si>
  <si>
    <t>طبة + سكينة كبيرة - خشابي</t>
  </si>
  <si>
    <t>KP-DG14</t>
  </si>
  <si>
    <t>ضلفة سلك - خشابي</t>
  </si>
  <si>
    <t>KP-DG15</t>
  </si>
  <si>
    <t>ضلفة سلك كبيرة - خشابي</t>
  </si>
  <si>
    <t>KP-DG16</t>
  </si>
  <si>
    <t>سقاس ضلفة سلك - خشابي</t>
  </si>
  <si>
    <t>KP-DG17</t>
  </si>
  <si>
    <t>حلق جرار 3 مجرى بدون برور - رمادي</t>
  </si>
  <si>
    <t>الجرار (الرمادي)</t>
  </si>
  <si>
    <t>KP-GG1</t>
  </si>
  <si>
    <t>حلق جرار 3 مجرى ببرور - رمادي</t>
  </si>
  <si>
    <t>KP-GG2</t>
  </si>
  <si>
    <t>ضلفة جرار كبيرة - رمادي</t>
  </si>
  <si>
    <t>KP-GG3</t>
  </si>
  <si>
    <t>سقاس جرار - رمادي</t>
  </si>
  <si>
    <t>KP-GG4</t>
  </si>
  <si>
    <t>باكتة سنجل جرار - رمادي</t>
  </si>
  <si>
    <t>KP-GG5</t>
  </si>
  <si>
    <t>باكتة دبل جرار - رمادي</t>
  </si>
  <si>
    <t>KP-GG6</t>
  </si>
  <si>
    <t>طبة + سكينة كبيرة - رمادي</t>
  </si>
  <si>
    <t>KP-GG7</t>
  </si>
  <si>
    <t>ضلفة سلك - رمادي</t>
  </si>
  <si>
    <t>KP-GG8</t>
  </si>
  <si>
    <t>ضلفة سلك كبيرة - رمادي</t>
  </si>
  <si>
    <t>KP-GG9</t>
  </si>
  <si>
    <t>سقاس ضلفة سلك - رمادي</t>
  </si>
  <si>
    <t>KP-GG10</t>
  </si>
  <si>
    <t>حلق مفصلي بدون برور - رمادي</t>
  </si>
  <si>
    <t>المفصلي (الرمادي)</t>
  </si>
  <si>
    <t>KP-G1</t>
  </si>
  <si>
    <t>حلق مفصلي ببرور 6 سم - رمادي</t>
  </si>
  <si>
    <t>KP-G2</t>
  </si>
  <si>
    <t>ضلفة شباك مفصلي - رمادي</t>
  </si>
  <si>
    <t>KP-G3</t>
  </si>
  <si>
    <t>ضلفة باب مفصلي فتح للداخل - رمادي</t>
  </si>
  <si>
    <t>KP-G4</t>
  </si>
  <si>
    <t>باكتة سنجل مفصلي - رمادي</t>
  </si>
  <si>
    <t>KP-G5</t>
  </si>
  <si>
    <t>باكتة دبل مفصلي - رمادي</t>
  </si>
  <si>
    <t>KP-G6</t>
  </si>
  <si>
    <t>سقاس مفصلي - رمادي</t>
  </si>
  <si>
    <t>KP-G7</t>
  </si>
  <si>
    <t>بوكلير مفصلي - رمادي</t>
  </si>
  <si>
    <t>KP-G8</t>
  </si>
  <si>
    <t>بانل 10 سم - رمادي</t>
  </si>
  <si>
    <t>KP-G9</t>
  </si>
  <si>
    <t>حلق مفصلي بدون برور - أرو</t>
  </si>
  <si>
    <t>المفصلي (أرو)</t>
  </si>
  <si>
    <t>KP-O1</t>
  </si>
  <si>
    <t>حلق مفصلي ببرور كبير 6 سم - أرو</t>
  </si>
  <si>
    <t>KP-O2</t>
  </si>
  <si>
    <t>ضلفة شباك مفصلي - أرو</t>
  </si>
  <si>
    <t>KP-O3</t>
  </si>
  <si>
    <t>ضلفة باب مفصلي فتح للداخل - أرو</t>
  </si>
  <si>
    <t>KP-O4</t>
  </si>
  <si>
    <t>ضلفة باب مفصلي فتح للخارج - أرو</t>
  </si>
  <si>
    <t>KP-O5</t>
  </si>
  <si>
    <t>باكتة سنجل مفصلي - أرو</t>
  </si>
  <si>
    <t>KP-O6</t>
  </si>
  <si>
    <t>باكتة دبل مفصلي - أرو</t>
  </si>
  <si>
    <t>KP-O7</t>
  </si>
  <si>
    <t>سقاس مفصلي - أرو</t>
  </si>
  <si>
    <t>KP-O8</t>
  </si>
  <si>
    <t>بوكلير مفصلي - أرو</t>
  </si>
  <si>
    <t>KP-O9</t>
  </si>
  <si>
    <t>بانل 10 سم - أرو</t>
  </si>
  <si>
    <t>KP-O10</t>
  </si>
  <si>
    <t>حلق جرار 3 مجرى بدون برور - أرو</t>
  </si>
  <si>
    <t>الجرار (أرو)</t>
  </si>
  <si>
    <t>KP-OG1</t>
  </si>
  <si>
    <t>حلق جرار 3 مجرى ببرور 6 سم - أرو</t>
  </si>
  <si>
    <t>KP-OG2</t>
  </si>
  <si>
    <t>ضلفة جرار كبيرة - أرو</t>
  </si>
  <si>
    <t>KP-OG3</t>
  </si>
  <si>
    <t>سقاس جرار - أرو</t>
  </si>
  <si>
    <t>KP-OG4</t>
  </si>
  <si>
    <t>باكتة سنجل جرار - أرو</t>
  </si>
  <si>
    <t>KP-OG5</t>
  </si>
  <si>
    <t>باكتة دبل جرار - أرو</t>
  </si>
  <si>
    <t>KP-OG6</t>
  </si>
  <si>
    <t>طبة + سكينة كبيرة - أرو</t>
  </si>
  <si>
    <t>KP-OG7</t>
  </si>
  <si>
    <t>ضلفة سلك كبيرة - أرو</t>
  </si>
  <si>
    <t>KP-OG8</t>
  </si>
  <si>
    <t>سقاس ضلفة سلك - أرو</t>
  </si>
  <si>
    <t>KP-OG9</t>
  </si>
  <si>
    <t>ماسورة CRB - بيج / أبيض</t>
  </si>
  <si>
    <t>KP-SUP1</t>
  </si>
  <si>
    <t>ماسورة CRB - خشبي</t>
  </si>
  <si>
    <t>KP-SUP2</t>
  </si>
  <si>
    <t>ماسورة CRB - رمادي</t>
  </si>
  <si>
    <t>KP-SUP3</t>
  </si>
  <si>
    <t>ماسورة CRB - أرو</t>
  </si>
  <si>
    <t>KP-SUP4</t>
  </si>
  <si>
    <t>كورنر CRB - بيج / أبيض</t>
  </si>
  <si>
    <t>KP-SUP5</t>
  </si>
  <si>
    <t>كورنر CRB - خشبي</t>
  </si>
  <si>
    <t>KP-SUP6</t>
  </si>
  <si>
    <t>كورنر CRB - رمادي</t>
  </si>
  <si>
    <t>KP-SUP7</t>
  </si>
  <si>
    <t>كورنر CRB - أرو</t>
  </si>
  <si>
    <t>KP-SUP8</t>
  </si>
  <si>
    <t>برور خارجي كلبس - بيج / أبيض</t>
  </si>
  <si>
    <t>KP-SUP9</t>
  </si>
  <si>
    <t>KP-SUP10</t>
  </si>
  <si>
    <t>برور خارجي كلبس - رمادي</t>
  </si>
  <si>
    <t>KP-SUP11</t>
  </si>
  <si>
    <t>برور خارجي كلبس - أرو</t>
  </si>
  <si>
    <t>KP-SUP12</t>
  </si>
  <si>
    <t>برور عريض 6 × 9 سم</t>
  </si>
  <si>
    <t>KP-SUP13</t>
  </si>
  <si>
    <t>كلبس مفصلي</t>
  </si>
  <si>
    <t>KP-SUP14</t>
  </si>
  <si>
    <t>علبة (7.45 × 7.45)</t>
  </si>
  <si>
    <t>KP-SUP15</t>
  </si>
  <si>
    <t>سكينة عادية</t>
  </si>
  <si>
    <t>KP-SUP16</t>
  </si>
  <si>
    <t>طبة عادية</t>
  </si>
  <si>
    <t>KP-SUP17</t>
  </si>
  <si>
    <t>كوبلن (تجميع مفصلي مع جرار)</t>
  </si>
  <si>
    <t>KP-SUP18</t>
  </si>
  <si>
    <t>تجميع ثابت مع جرار - بيج / أبيض</t>
  </si>
  <si>
    <t>KP-SUP19</t>
  </si>
  <si>
    <t>KP-SUP20</t>
  </si>
  <si>
    <t>تجميع ثابت مع جرار - رمادي</t>
  </si>
  <si>
    <t>KP-SUP21</t>
  </si>
  <si>
    <t>تجميع ثابت مع جرار - أرو</t>
  </si>
  <si>
    <t>KP-SUP22</t>
  </si>
  <si>
    <t>حديد تدعيم 5 متر - ملم 1.2</t>
  </si>
  <si>
    <t>قائمة الحديد</t>
  </si>
  <si>
    <t>KP-IR1</t>
  </si>
  <si>
    <t>حديد ضلفة سلك صغيرة للمتر</t>
  </si>
  <si>
    <t>KP-IR2</t>
  </si>
  <si>
    <t>حلق مفصلي بدون بار</t>
  </si>
  <si>
    <t>NL510</t>
  </si>
  <si>
    <t>حلق مفصلي بار 5 سم</t>
  </si>
  <si>
    <t>NL511</t>
  </si>
  <si>
    <t>حلق مفصلي ببار مقلوب 5 سم</t>
  </si>
  <si>
    <t>NL512</t>
  </si>
  <si>
    <t>ضلفة شباك مفصلي</t>
  </si>
  <si>
    <t>NL513-W</t>
  </si>
  <si>
    <t>ضلفة باب مفصلي نيولاين</t>
  </si>
  <si>
    <t>NL515</t>
  </si>
  <si>
    <t>سواس مفصلي / سواس جرار كرافت</t>
  </si>
  <si>
    <t>KL-S514-M</t>
  </si>
  <si>
    <t>بوكلير مفصلي</t>
  </si>
  <si>
    <t>NL517</t>
  </si>
  <si>
    <t>باكتة سنجل مفصلي</t>
  </si>
  <si>
    <t>KL618</t>
  </si>
  <si>
    <t>باكتة دبل مفصلي</t>
  </si>
  <si>
    <t>KL619</t>
  </si>
  <si>
    <t>حلق مفصلي 6 سم (ECO)</t>
  </si>
  <si>
    <t>NL-S611E</t>
  </si>
  <si>
    <t>شباك مفصلي 6 سم (ECO)</t>
  </si>
  <si>
    <t>NL-613E</t>
  </si>
  <si>
    <t>باب مفصلي 6 سم (ECO)</t>
  </si>
  <si>
    <t>NL-615E</t>
  </si>
  <si>
    <t>حلق 3 مجرى بدون بار</t>
  </si>
  <si>
    <t>NL-S1012</t>
  </si>
  <si>
    <t>حلق 3 مجرى ببار 5 سم</t>
  </si>
  <si>
    <t>NL-S1013</t>
  </si>
  <si>
    <t>ضلفة جرار</t>
  </si>
  <si>
    <t>NL-S1015</t>
  </si>
  <si>
    <t>باكتة سنجل جرار</t>
  </si>
  <si>
    <t>KL-S738</t>
  </si>
  <si>
    <t>باكتة دبل جرار</t>
  </si>
  <si>
    <t>KL-S737</t>
  </si>
  <si>
    <t>طبة + سكينة</t>
  </si>
  <si>
    <t>NL-S1016</t>
  </si>
  <si>
    <t>ضلفة سلك</t>
  </si>
  <si>
    <t>NL-S1019</t>
  </si>
  <si>
    <r>
      <rPr>
        <sz val="11"/>
        <color theme="1"/>
        <rFont val="Calibri"/>
        <charset val="1"/>
      </rPr>
      <t xml:space="preserve">WPC </t>
    </r>
    <r>
      <rPr>
        <sz val="11"/>
        <color theme="1"/>
        <rFont val="FreeSans"/>
        <family val="2"/>
      </rPr>
      <t xml:space="preserve">باب </t>
    </r>
    <r>
      <rPr>
        <sz val="11"/>
        <color theme="1"/>
        <rFont val="Calibri"/>
        <charset val="1"/>
      </rPr>
      <t xml:space="preserve">- </t>
    </r>
    <r>
      <rPr>
        <sz val="11"/>
        <color theme="1"/>
        <rFont val="FreeSans"/>
        <family val="2"/>
      </rPr>
      <t xml:space="preserve">مقاس </t>
    </r>
    <r>
      <rPr>
        <sz val="11"/>
        <color theme="1"/>
        <rFont val="Calibri"/>
        <charset val="1"/>
      </rPr>
      <t xml:space="preserve">100 </t>
    </r>
    <r>
      <rPr>
        <sz val="11"/>
        <color theme="1"/>
        <rFont val="FreeSans"/>
        <family val="2"/>
      </rPr>
      <t>سم</t>
    </r>
  </si>
  <si>
    <t>أبواب WPC</t>
  </si>
  <si>
    <t>DO-WPC1</t>
  </si>
  <si>
    <r>
      <rPr>
        <sz val="11"/>
        <color theme="1"/>
        <rFont val="Calibri"/>
        <charset val="1"/>
      </rPr>
      <t xml:space="preserve">WPC </t>
    </r>
    <r>
      <rPr>
        <sz val="11"/>
        <color theme="1"/>
        <rFont val="FreeSans"/>
        <family val="2"/>
      </rPr>
      <t xml:space="preserve">باب </t>
    </r>
    <r>
      <rPr>
        <sz val="11"/>
        <color theme="1"/>
        <rFont val="Calibri"/>
        <charset val="1"/>
      </rPr>
      <t xml:space="preserve">- </t>
    </r>
    <r>
      <rPr>
        <sz val="11"/>
        <color theme="1"/>
        <rFont val="FreeSans"/>
        <family val="2"/>
      </rPr>
      <t xml:space="preserve">مقاس </t>
    </r>
    <r>
      <rPr>
        <sz val="11"/>
        <color theme="1"/>
        <rFont val="Calibri"/>
        <charset val="1"/>
      </rPr>
      <t xml:space="preserve">90 </t>
    </r>
    <r>
      <rPr>
        <sz val="11"/>
        <color theme="1"/>
        <rFont val="FreeSans"/>
        <family val="2"/>
      </rPr>
      <t>سم</t>
    </r>
  </si>
  <si>
    <t>DO-WPC2</t>
  </si>
  <si>
    <r>
      <rPr>
        <sz val="11"/>
        <color theme="1"/>
        <rFont val="Calibri"/>
        <charset val="1"/>
      </rPr>
      <t xml:space="preserve">WPC </t>
    </r>
    <r>
      <rPr>
        <sz val="11"/>
        <color theme="1"/>
        <rFont val="FreeSans"/>
        <family val="2"/>
      </rPr>
      <t xml:space="preserve">باب </t>
    </r>
    <r>
      <rPr>
        <sz val="11"/>
        <color theme="1"/>
        <rFont val="Calibri"/>
        <charset val="1"/>
      </rPr>
      <t xml:space="preserve">- </t>
    </r>
    <r>
      <rPr>
        <sz val="11"/>
        <color theme="1"/>
        <rFont val="FreeSans"/>
        <family val="2"/>
      </rPr>
      <t xml:space="preserve">مقاس </t>
    </r>
    <r>
      <rPr>
        <sz val="11"/>
        <color theme="1"/>
        <rFont val="Calibri"/>
        <charset val="1"/>
      </rPr>
      <t xml:space="preserve">80 </t>
    </r>
    <r>
      <rPr>
        <sz val="11"/>
        <color theme="1"/>
        <rFont val="FreeSans"/>
        <family val="2"/>
      </rPr>
      <t>سم</t>
    </r>
  </si>
  <si>
    <t>DO-WPC3</t>
  </si>
  <si>
    <r>
      <rPr>
        <sz val="11"/>
        <color theme="1"/>
        <rFont val="Calibri"/>
        <charset val="1"/>
      </rPr>
      <t xml:space="preserve">WPC </t>
    </r>
    <r>
      <rPr>
        <sz val="11"/>
        <color theme="1"/>
        <rFont val="FreeSans"/>
        <family val="2"/>
      </rPr>
      <t xml:space="preserve">باب </t>
    </r>
    <r>
      <rPr>
        <sz val="11"/>
        <color theme="1"/>
        <rFont val="Calibri"/>
        <charset val="1"/>
      </rPr>
      <t xml:space="preserve">- </t>
    </r>
    <r>
      <rPr>
        <sz val="11"/>
        <color theme="1"/>
        <rFont val="FreeSans"/>
        <family val="2"/>
      </rPr>
      <t xml:space="preserve">مقاس </t>
    </r>
    <r>
      <rPr>
        <sz val="11"/>
        <color theme="1"/>
        <rFont val="Calibri"/>
        <charset val="1"/>
      </rPr>
      <t xml:space="preserve">70 </t>
    </r>
    <r>
      <rPr>
        <sz val="11"/>
        <color theme="1"/>
        <rFont val="FreeSans"/>
        <family val="2"/>
      </rPr>
      <t>سم</t>
    </r>
  </si>
  <si>
    <t>DO-WPC4</t>
  </si>
  <si>
    <t>مقبض باب مودرن نيو مودرن (WPC)</t>
  </si>
  <si>
    <t>إكسسوارات أبواب</t>
  </si>
  <si>
    <t>DO-ACC1</t>
  </si>
  <si>
    <t>مقبض حمام مودرن نيو مودرن (WPC)</t>
  </si>
  <si>
    <t>DO-ACC2</t>
  </si>
  <si>
    <t>مفصلة أبواب WPC</t>
  </si>
  <si>
    <t>DO-ACC3</t>
  </si>
  <si>
    <t>زاوية كرسي للأبواب WPC</t>
  </si>
  <si>
    <t>DO-ACC4</t>
  </si>
  <si>
    <t>قلب كالون نحاس أبواب WPC</t>
  </si>
  <si>
    <t>DO-ACC5</t>
  </si>
  <si>
    <t>كالون سلندر نحاس أبواب WPC</t>
  </si>
  <si>
    <t>DO-ACC6</t>
  </si>
  <si>
    <t>كالون إشارة نحاس أبواب WPC</t>
  </si>
  <si>
    <t>DO-ACC7</t>
  </si>
  <si>
    <t>بانل باب م1</t>
  </si>
  <si>
    <t>ليمنيشن وبانل</t>
  </si>
  <si>
    <t>DO-LAM1</t>
  </si>
  <si>
    <t>بانل باب 90 سم</t>
  </si>
  <si>
    <t>DO-LAM2</t>
  </si>
  <si>
    <t>بانل باب 80 سم</t>
  </si>
  <si>
    <t>DO-LAM3</t>
  </si>
  <si>
    <t>بانل تجميع 33 * 0.85</t>
  </si>
  <si>
    <t>DO-LAM4</t>
  </si>
  <si>
    <t>حلق باب 10 سم</t>
  </si>
  <si>
    <t>DO-LAM5</t>
  </si>
  <si>
    <t>حلق باب 8 سم</t>
  </si>
  <si>
    <t>DO-LAM6</t>
  </si>
  <si>
    <t>حلق باب 15 سم</t>
  </si>
  <si>
    <t>DO-LAM7</t>
  </si>
  <si>
    <t>حلق باب 18 سم</t>
  </si>
  <si>
    <t>DO-LAM8</t>
  </si>
  <si>
    <t>حلق باب 20 سم</t>
  </si>
  <si>
    <t>DO-LAM9</t>
  </si>
  <si>
    <t>برور 96</t>
  </si>
  <si>
    <t>DO-LAM10</t>
  </si>
  <si>
    <t>برور 84</t>
  </si>
  <si>
    <t>DO-LAM11</t>
  </si>
  <si>
    <t>بانل U33</t>
  </si>
  <si>
    <t>DO-LAM12</t>
  </si>
  <si>
    <t>تجميع U</t>
  </si>
  <si>
    <t>DO-LAM13</t>
  </si>
  <si>
    <t>دعامة</t>
  </si>
  <si>
    <t>DO-LAM14</t>
  </si>
  <si>
    <t>رول شريط / متر</t>
  </si>
  <si>
    <t>DO-LAM15</t>
  </si>
  <si>
    <t>رول فيلم لاصق / متر</t>
  </si>
  <si>
    <t>DO-LAM16</t>
  </si>
  <si>
    <t>جوان</t>
  </si>
  <si>
    <t>DO-LAM17</t>
  </si>
  <si>
    <t>لوح mdf</t>
  </si>
  <si>
    <t>DO-LAM18</t>
  </si>
  <si>
    <t>سبلونة مفصلي سم 30</t>
  </si>
  <si>
    <t>السبلونات المفصلي</t>
  </si>
  <si>
    <t>ACC-SPM30</t>
  </si>
  <si>
    <t>سبلونة مفصلي سم 40</t>
  </si>
  <si>
    <t>ACC-SPM40</t>
  </si>
  <si>
    <t>سبلونة مفصلي سم 60</t>
  </si>
  <si>
    <t>ACC-SPM60</t>
  </si>
  <si>
    <t>سبلونة مفصلي سم 80</t>
  </si>
  <si>
    <t>ACC-SPM80</t>
  </si>
  <si>
    <t>سبلونة مفصلي 100 سم</t>
  </si>
  <si>
    <t>ACC-SPM100</t>
  </si>
  <si>
    <t>سبلونة مفصلي 120سم</t>
  </si>
  <si>
    <t>ACC-SPM120</t>
  </si>
  <si>
    <t>سبلونة مفصلي 140 سم</t>
  </si>
  <si>
    <t>ACC-SPM140</t>
  </si>
  <si>
    <t>سبلونة مفصلي 160 سم</t>
  </si>
  <si>
    <t>ACC-SPM160</t>
  </si>
  <si>
    <t>سبلونة مفصلي 180سم</t>
  </si>
  <si>
    <t>ACC-SPM180</t>
  </si>
  <si>
    <t>سبلونة جرار سم 40</t>
  </si>
  <si>
    <t>السبلونات الجرار</t>
  </si>
  <si>
    <t>ACC-SPG40</t>
  </si>
  <si>
    <t>سبلونة جرار 60 سم</t>
  </si>
  <si>
    <t>ACC-SPG60</t>
  </si>
  <si>
    <t>سبلونة جرار 80 سم</t>
  </si>
  <si>
    <t>ACC-SPG80</t>
  </si>
  <si>
    <t>سبلونة جرار 100 سم</t>
  </si>
  <si>
    <t>ACC-SPG100</t>
  </si>
  <si>
    <t>سبلونة جرار 120سم</t>
  </si>
  <si>
    <t>ACC-SPG120</t>
  </si>
  <si>
    <t>سبلونة جرار 140 سم</t>
  </si>
  <si>
    <t>ACC-SPG140</t>
  </si>
  <si>
    <t>سبلونة جرار 160 سم</t>
  </si>
  <si>
    <t>ACC-SPG160</t>
  </si>
  <si>
    <t>سبلونة جرار 180 سم</t>
  </si>
  <si>
    <t>ACC-SPG180</t>
  </si>
  <si>
    <t>سبلونة مالتي لوك رفيعة 160سم</t>
  </si>
  <si>
    <t>السبلونات بكالون</t>
  </si>
  <si>
    <t>ACC-SPK160R</t>
  </si>
  <si>
    <t>سبلونة مالتي لوك عريضة 160 سم</t>
  </si>
  <si>
    <t>ACC-SPK160W</t>
  </si>
  <si>
    <t>سبلونة مالتي لوك رفيعة 180سم</t>
  </si>
  <si>
    <t>ACC-SPK180R</t>
  </si>
  <si>
    <t>سبلونة مالتي لوك عريضة 180سم</t>
  </si>
  <si>
    <t>ACC-SPK180W</t>
  </si>
  <si>
    <t>سبلونة جرار بكالون 180 سم (جديد)</t>
  </si>
  <si>
    <t>ACC-SPK180G</t>
  </si>
  <si>
    <t>سبلونة جرار بكالون 160 سم (جديد)</t>
  </si>
  <si>
    <t>ACC-SPK160G</t>
  </si>
  <si>
    <t>سبلونة مالتي لوك بكالون إشارة 180 سم</t>
  </si>
  <si>
    <t>ACC-SPK180S</t>
  </si>
  <si>
    <t>سبلونه بخطاف مالتي لوك 200180</t>
  </si>
  <si>
    <t>ACC-SPK200H</t>
  </si>
  <si>
    <t>سبلونه بخطاف مالتي لوك 220200</t>
  </si>
  <si>
    <t>ACC-SPK220H</t>
  </si>
  <si>
    <t>سبلونه مالتي لوك امان 180200</t>
  </si>
  <si>
    <t>ACC-SPK180A</t>
  </si>
  <si>
    <t>سبلونه مالتي لوك امان 200220</t>
  </si>
  <si>
    <t>ACC-SPK200A</t>
  </si>
  <si>
    <t>مقبض بارز (أبيض / بيج)</t>
  </si>
  <si>
    <t>المقابض الفردية</t>
  </si>
  <si>
    <t>ACC-HD1</t>
  </si>
  <si>
    <t>مقبض بارز (جولدن أوك)</t>
  </si>
  <si>
    <t>ACC-HD2</t>
  </si>
  <si>
    <t>مقبض ببصمة جديد (أبيض - بيج)</t>
  </si>
  <si>
    <t>ACC-HD3</t>
  </si>
  <si>
    <t>مقبض فاخر (أبيض / بيج)</t>
  </si>
  <si>
    <t>ACC-HD4</t>
  </si>
  <si>
    <t>مقبض فاخر (جولدن أوك)</t>
  </si>
  <si>
    <t>ACC-HD5</t>
  </si>
  <si>
    <t>مقبض فاخر (جراي - أسود)</t>
  </si>
  <si>
    <t>ACC-HD6</t>
  </si>
  <si>
    <t>مقبض فاخر ذهبي</t>
  </si>
  <si>
    <t>ACC-HD7</t>
  </si>
  <si>
    <t>مقبض فاخر جديد المطور (أبيض - بيج)</t>
  </si>
  <si>
    <t>ACC-HD8</t>
  </si>
  <si>
    <t>مقبض اليو جديد (أبيض / بيج)</t>
  </si>
  <si>
    <t>ACC-HD9</t>
  </si>
  <si>
    <t>مقبض اليو جديد (خشبي/جراي/أسود)</t>
  </si>
  <si>
    <t>ACC-HD10</t>
  </si>
  <si>
    <t>مقبض جرار دفن (أبيض / بيج)</t>
  </si>
  <si>
    <t>ACC-HD11</t>
  </si>
  <si>
    <t>مقبض جرار دفن (خشبي - أسود - جراي)</t>
  </si>
  <si>
    <t>ACC-HD12</t>
  </si>
  <si>
    <t>مقبض جرار دفن (أرو)</t>
  </si>
  <si>
    <t>ACC-HD13</t>
  </si>
  <si>
    <t>مقبض الماني بمفتاح (أبيض/بيج/سلفر)</t>
  </si>
  <si>
    <t>ACC-HD14</t>
  </si>
  <si>
    <t>مقبض جامبو (أبيض/بيج/بني/جولدن)</t>
  </si>
  <si>
    <t>ACC-HD15</t>
  </si>
  <si>
    <t>مقبض ألماني ثقيل</t>
  </si>
  <si>
    <t>ACC-HD16</t>
  </si>
  <si>
    <t>مقبض وجهين سلندر/إشارة (أبيض/بيج)</t>
  </si>
  <si>
    <t>مقابض الوجهين</t>
  </si>
  <si>
    <t>ACC-HDD1</t>
  </si>
  <si>
    <t>مقبض وجهين سلندر/إشارة (خشبي/أسود)</t>
  </si>
  <si>
    <t>ACC-HDD2</t>
  </si>
  <si>
    <t>مقبض وجهين سلندر/إشارة (أرو)</t>
  </si>
  <si>
    <t>ACC-HDD3</t>
  </si>
  <si>
    <t>مقبض وجهين سلندر/إشارة (أسود ليو)</t>
  </si>
  <si>
    <t>ACC-HDD4</t>
  </si>
  <si>
    <t>مقبض ببصمة وجهين سلندر/إشارة</t>
  </si>
  <si>
    <t>ACC-HDD5</t>
  </si>
  <si>
    <t>مفصلة D3 (أبيض - بيج)</t>
  </si>
  <si>
    <t>مفصلات وعجل جرار</t>
  </si>
  <si>
    <t>ACC-HNG-D3W</t>
  </si>
  <si>
    <t>مفصلة D3 (خشبي - أسود - جراي - أرو)</t>
  </si>
  <si>
    <t>ACC-HNG-D3C</t>
  </si>
  <si>
    <t>مفصلة 7.5 سم (أبيض / بيج)</t>
  </si>
  <si>
    <t>ACC-HNG-75W</t>
  </si>
  <si>
    <t>مفصلة سم 7.5 (خشبي - أسود - جراي)</t>
  </si>
  <si>
    <t>ACC-HNG-75C</t>
  </si>
  <si>
    <t>مفصلة سم 7.5 (أرو - أسود)</t>
  </si>
  <si>
    <t>ACC-HNG-75A</t>
  </si>
  <si>
    <t>مفصلة 10 سم (أبيض + بيج)</t>
  </si>
  <si>
    <t>ACC-HNG-10W</t>
  </si>
  <si>
    <t>مفصلة 10 سم (خشبي - أسود - جراي)</t>
  </si>
  <si>
    <t>ACC-HNG-10C</t>
  </si>
  <si>
    <t>مفصلة 10 سم (أرو)</t>
  </si>
  <si>
    <t>ACC-HNG-10A</t>
  </si>
  <si>
    <t>مفصلة بلاستيك 7.5 سم</t>
  </si>
  <si>
    <t>ACC-HNG-PL75</t>
  </si>
  <si>
    <t>مفصلة بلاستيك 10سم</t>
  </si>
  <si>
    <t>ACC-HNG-PL10</t>
  </si>
  <si>
    <t>شبلونه مفصلة 10 سم / 7.5 سم تقيله</t>
  </si>
  <si>
    <t>ACC-SH-HNG</t>
  </si>
  <si>
    <t>طقم عجل جرار سنجل (50 - 70 كجم)</t>
  </si>
  <si>
    <t>ACC-WL-SGL</t>
  </si>
  <si>
    <t>طقم عجل جرار دبل (100 كجم)</t>
  </si>
  <si>
    <t>ACC-WL-DBL</t>
  </si>
  <si>
    <t>طقم عجل بومبيه جرار فورناكس</t>
  </si>
  <si>
    <t>ACC-WL-BMB</t>
  </si>
  <si>
    <t>طقم ركوب مفصلة 8 ملم</t>
  </si>
  <si>
    <t>ACC-WL-RK8</t>
  </si>
  <si>
    <t>سبلونة مفصلي قلاب (50 - 70 سم)</t>
  </si>
  <si>
    <t>مفصلي قلاب T&amp;T</t>
  </si>
  <si>
    <t>ACC-TT-01</t>
  </si>
  <si>
    <t>سبلونة مفصلي قلاب (60 - 100 سم)</t>
  </si>
  <si>
    <t>ACC-TT-02</t>
  </si>
  <si>
    <t>سبلونة مفصلي قلاب (90 - 130 سم)</t>
  </si>
  <si>
    <t>ACC-TT-03</t>
  </si>
  <si>
    <t>سبلونة مفصلي قلاب (100 - 140 سم)</t>
  </si>
  <si>
    <t>ACC-TT-04</t>
  </si>
  <si>
    <t>سبلونة مفصلي قلاب (120 - 160 سم)</t>
  </si>
  <si>
    <t>ACC-TT-05</t>
  </si>
  <si>
    <t>سبلونة مفصلي قلاب (140 - 180 سم)</t>
  </si>
  <si>
    <t>ACC-TT-06</t>
  </si>
  <si>
    <t>سبلونة مفصلي قلاب (160 - 200 سم)</t>
  </si>
  <si>
    <t>ACC-TT-07</t>
  </si>
  <si>
    <t>سبلونة مفصلي قلاب (195 - 240 سم)</t>
  </si>
  <si>
    <t>ACC-TT-08</t>
  </si>
  <si>
    <t>مقص مفصلي قلاب (40 - سم60)</t>
  </si>
  <si>
    <t>ACC-TT-09</t>
  </si>
  <si>
    <t>مقص مفصلي قلاب (60 - سم80)</t>
  </si>
  <si>
    <t>ACC-TT-10</t>
  </si>
  <si>
    <t>مقص مفصلي قلاب (80 - 100)</t>
  </si>
  <si>
    <t>ACC-TT-11</t>
  </si>
  <si>
    <t>مقص مفصلي قلاب من (100 - سم120)</t>
  </si>
  <si>
    <t>ACC-TT-12</t>
  </si>
  <si>
    <t>مقص مفصلي قلاب (120 - 140 سم)</t>
  </si>
  <si>
    <t>ACC-TT-13</t>
  </si>
  <si>
    <t>مقص مفصلي قلاب (140 - 160 سم)</t>
  </si>
  <si>
    <t>ACC-TT-14</t>
  </si>
  <si>
    <t>زاوية مفصلي قلاب</t>
  </si>
  <si>
    <t>ACC-TT-15</t>
  </si>
  <si>
    <t>مقص ثابت</t>
  </si>
  <si>
    <t>ACC-TT-16</t>
  </si>
  <si>
    <t>خليفية 40 - 80 سم</t>
  </si>
  <si>
    <t>ACC-TT-17</t>
  </si>
  <si>
    <r>
      <rPr>
        <sz val="11"/>
        <color theme="1"/>
        <rFont val="Calibri"/>
        <charset val="1"/>
      </rPr>
      <t xml:space="preserve">100 - 50 </t>
    </r>
    <r>
      <rPr>
        <sz val="11"/>
        <color theme="1"/>
        <rFont val="FreeSans"/>
        <family val="2"/>
      </rPr>
      <t>خلفية</t>
    </r>
  </si>
  <si>
    <t>ACC-TT-18</t>
  </si>
  <si>
    <t>خلفية 70 - 115 سم</t>
  </si>
  <si>
    <t>ACC-TT-19</t>
  </si>
  <si>
    <r>
      <rPr>
        <sz val="11"/>
        <color theme="1"/>
        <rFont val="Calibri"/>
        <charset val="1"/>
      </rPr>
      <t xml:space="preserve">150 - 115 </t>
    </r>
    <r>
      <rPr>
        <sz val="11"/>
        <color theme="1"/>
        <rFont val="FreeSans"/>
        <family val="2"/>
      </rPr>
      <t>خلفية سم</t>
    </r>
  </si>
  <si>
    <t>ACC-TT-20</t>
  </si>
  <si>
    <r>
      <rPr>
        <sz val="11"/>
        <color theme="1"/>
        <rFont val="Calibri"/>
        <charset val="1"/>
      </rPr>
      <t xml:space="preserve">160 - 135 </t>
    </r>
    <r>
      <rPr>
        <sz val="11"/>
        <color theme="1"/>
        <rFont val="FreeSans"/>
        <family val="2"/>
      </rPr>
      <t>خلفية من</t>
    </r>
  </si>
  <si>
    <t>ACC-TT-21</t>
  </si>
  <si>
    <r>
      <rPr>
        <sz val="11"/>
        <color theme="1"/>
        <rFont val="Calibri"/>
        <charset val="1"/>
      </rPr>
      <t xml:space="preserve">185 - 150 </t>
    </r>
    <r>
      <rPr>
        <sz val="11"/>
        <color theme="1"/>
        <rFont val="FreeSans"/>
        <family val="2"/>
      </rPr>
      <t>خلفية من</t>
    </r>
  </si>
  <si>
    <t>ACC-TT-22</t>
  </si>
  <si>
    <r>
      <rPr>
        <sz val="11"/>
        <color theme="1"/>
        <rFont val="Calibri"/>
        <charset val="1"/>
      </rPr>
      <t xml:space="preserve">210 - 185 </t>
    </r>
    <r>
      <rPr>
        <sz val="11"/>
        <color theme="1"/>
        <rFont val="FreeSans"/>
        <family val="2"/>
      </rPr>
      <t>خلفية سم</t>
    </r>
  </si>
  <si>
    <t>ACC-TT-23</t>
  </si>
  <si>
    <r>
      <rPr>
        <sz val="11"/>
        <color theme="1"/>
        <rFont val="Calibri"/>
        <charset val="1"/>
      </rPr>
      <t xml:space="preserve">240 - 210 </t>
    </r>
    <r>
      <rPr>
        <sz val="11"/>
        <color theme="1"/>
        <rFont val="FreeSans"/>
        <family val="2"/>
      </rPr>
      <t>خلفية سم</t>
    </r>
  </si>
  <si>
    <t>ACC-TT-24</t>
  </si>
  <si>
    <t>ترباس 2 ضلفة مفصلي قلاب علوي</t>
  </si>
  <si>
    <t>ACC-TT-25</t>
  </si>
  <si>
    <t>ترباس 2 ضلفة مفصلي قلاب سفلي</t>
  </si>
  <si>
    <t>ACC-TT-26</t>
  </si>
  <si>
    <t>ترباس دبل تلت واحد ضلفة</t>
  </si>
  <si>
    <t>ACC-TT-27</t>
  </si>
  <si>
    <t>سكاك ترباس مفصلي قلاب واحد ضلفة</t>
  </si>
  <si>
    <t>ACC-TT-28</t>
  </si>
  <si>
    <t>مفصلة ضلفة علوية</t>
  </si>
  <si>
    <t>ACC-TT-29</t>
  </si>
  <si>
    <t>مفصلة ضلفة سفلية</t>
  </si>
  <si>
    <t>ACC-TT-30</t>
  </si>
  <si>
    <t>مفصلة حلق علوية</t>
  </si>
  <si>
    <t>ACC-TT-31</t>
  </si>
  <si>
    <t>مفصلة حلق سفلية</t>
  </si>
  <si>
    <t>ACC-TT-32</t>
  </si>
  <si>
    <t>قاعدة مفصلة وسط</t>
  </si>
  <si>
    <t>ACC-TT-33</t>
  </si>
  <si>
    <t>غطاء بلاستيك مفصلي قلاب أبيض وبيج</t>
  </si>
  <si>
    <t>ACC-TT-34</t>
  </si>
  <si>
    <t>بوكس 16.5 سم (أبيض / بيج) (علبه + غطاء)</t>
  </si>
  <si>
    <t>بوكسات الشاتر</t>
  </si>
  <si>
    <t>SHUT-BOX-01</t>
  </si>
  <si>
    <t>بوكس 16.5 سم (خشبي - جراي) (علبه + غطاء)</t>
  </si>
  <si>
    <t>SHUT-BOX-02</t>
  </si>
  <si>
    <t>بوكس 18 سم (أبيض / بيج) (علبه + غطاء)</t>
  </si>
  <si>
    <t>SHUT-BOX-03</t>
  </si>
  <si>
    <t>بوكس 18 سم (خشبي - جراي) (علبه + غطاء)</t>
  </si>
  <si>
    <t>SHUT-BOX-04</t>
  </si>
  <si>
    <t>بوكس 20.5 سم (أبيض / بيج) (علبه + غطاء)</t>
  </si>
  <si>
    <t>SHUT-BOX-05</t>
  </si>
  <si>
    <t>بوكس 20.5 سم (خشبي - جراي) (علبه + غطاء)</t>
  </si>
  <si>
    <t>SHUT-BOX-06</t>
  </si>
  <si>
    <t>بوكس 25 سم (أبيض / بيج) (علبه + غطاء)</t>
  </si>
  <si>
    <t>SHUT-BOX-07</t>
  </si>
  <si>
    <t>بوكس 25 سم (خشبي - جراي) (علبه + غطاء)</t>
  </si>
  <si>
    <t>SHUT-BOX-08</t>
  </si>
  <si>
    <t>بوكس 30 سم (أبيض / بيج) (علبه + غطاء)</t>
  </si>
  <si>
    <t>SHUT-BOX-09</t>
  </si>
  <si>
    <t>بوكس 30 سم (خشبي - جراي) (علبه + غطاء)</t>
  </si>
  <si>
    <t>SHUT-BOX-10</t>
  </si>
  <si>
    <t>خد صندوق شاتر 16.5 سم (أبيض / بيج)</t>
  </si>
  <si>
    <t>خدود الشاتر</t>
  </si>
  <si>
    <t>SHUT-CHEEK-01</t>
  </si>
  <si>
    <t>خد صندوق شاتر 16.5 سم (خشبي / جراي)</t>
  </si>
  <si>
    <t>SHUT-CHEEK-02</t>
  </si>
  <si>
    <t>خد صندوق شاتر 18 سم (أبيض / بيج)</t>
  </si>
  <si>
    <t>SHUT-CHEEK-03</t>
  </si>
  <si>
    <t>خد صندوق شاتر 18 سم (خشبي / جراي)</t>
  </si>
  <si>
    <t>SHUT-CHEEK-04</t>
  </si>
  <si>
    <t>خد صندوق شاتر 20.5 سم (أبيض / بيج)</t>
  </si>
  <si>
    <t>SHUT-CHEEK-05</t>
  </si>
  <si>
    <t>خد صندوق شاتر 20.5 سم (خشبي / جراي)</t>
  </si>
  <si>
    <t>SHUT-CHEEK-06</t>
  </si>
  <si>
    <t>خد صندوق شاتر 25 سم (أبيض / بيج)</t>
  </si>
  <si>
    <t>SHUT-CHEEK-07</t>
  </si>
  <si>
    <t>خد صندوق شاتر 25 سم (خشبي / جراي)</t>
  </si>
  <si>
    <t>SHUT-CHEEK-08</t>
  </si>
  <si>
    <t>خد صندوق شاتر 30 سم (أبيض / بيج)</t>
  </si>
  <si>
    <t>SHUT-CHEEK-09</t>
  </si>
  <si>
    <t>خد صندوق شاتر 30 سم (خشبي / جراي)</t>
  </si>
  <si>
    <t>SHUT-CHEEK-10</t>
  </si>
  <si>
    <t>شريحة شاتر 4.5 سم أبيض بيج أسباني</t>
  </si>
  <si>
    <t>شرائح أسباني</t>
  </si>
  <si>
    <t>SHUT-SLAT-01</t>
  </si>
  <si>
    <t>شريحة 5 سم أبيض بيج أسباني</t>
  </si>
  <si>
    <t>SHUT-SLAT-02</t>
  </si>
  <si>
    <t>شريحة حماية من الحشرات مثقبة 5 سم إيطالي أبيض/بيج</t>
  </si>
  <si>
    <t>شرائح إيطالي</t>
  </si>
  <si>
    <t>SHUT-SLAT-03</t>
  </si>
  <si>
    <t>شريحة إيطالي إنارة واسعة 5 سم أبيض/بيج</t>
  </si>
  <si>
    <t>SHUT-SLAT-04</t>
  </si>
  <si>
    <t>شريحة أكسا 5 سم أبيض وبيج - جديدة</t>
  </si>
  <si>
    <t>شرائح تركي</t>
  </si>
  <si>
    <t>SHUT-SLAT-05</t>
  </si>
  <si>
    <t>شريحة أكسا 5 سم جراي - جديدة</t>
  </si>
  <si>
    <t>SHUT-SLAT-06</t>
  </si>
  <si>
    <t>شريحة شاتر 5.5 سم أبيض وبيج (أكسا)</t>
  </si>
  <si>
    <t>SHUT-SLAT-07</t>
  </si>
  <si>
    <t>شريحة شاتر 5.5 سم جراي (أكسا)</t>
  </si>
  <si>
    <t>SHUT-SLAT-08</t>
  </si>
  <si>
    <t>شريحة شاتر 5.5 سم أبيض/بيج (12 كجم) زنكونيوم</t>
  </si>
  <si>
    <t>شرائح زنكونيوم</t>
  </si>
  <si>
    <t>SHUT-SLAT-09</t>
  </si>
  <si>
    <t>شريحة شاتر 5.5 سم أبيض/بيج (9 كجم) زنكونيوم</t>
  </si>
  <si>
    <t>SHUT-SLAT-10</t>
  </si>
  <si>
    <t>شريحة شاتر سوبر 7.7 سم أبيض/بيج زنكونيوم (بدون خصم)</t>
  </si>
  <si>
    <t>SHUT-SLAT-11</t>
  </si>
  <si>
    <t>شريحة شاتر سوبر 10 سم أبيض/بيج زنكونيوم (بدون خصم)</t>
  </si>
  <si>
    <t>SHUT-SLAT-12</t>
  </si>
  <si>
    <t>شريحة شاتر سوبر 7.7 سم أبيض/بيج (بدون خصم)</t>
  </si>
  <si>
    <t>SHUT-SLAT-13</t>
  </si>
  <si>
    <t>كوباية بلاستيك 6 سم</t>
  </si>
  <si>
    <t>كوبايات</t>
  </si>
  <si>
    <t>ACC-SH-01</t>
  </si>
  <si>
    <t>كوباية بلاستيك شفط</t>
  </si>
  <si>
    <t>ACC-SH-02</t>
  </si>
  <si>
    <t>كوباية معدن 7 سم</t>
  </si>
  <si>
    <t>ACC-SH-03</t>
  </si>
  <si>
    <t>كوباية طقم شريط تركي</t>
  </si>
  <si>
    <t>ACC-SH-04</t>
  </si>
  <si>
    <t>كوباية شفط إيطالي</t>
  </si>
  <si>
    <t>ACC-SH-05</t>
  </si>
  <si>
    <t>كوباية بدراع تركي أحمال</t>
  </si>
  <si>
    <t>ACC-SH-06</t>
  </si>
  <si>
    <t>بلية كوباية شفط</t>
  </si>
  <si>
    <t>بلى وقواعد</t>
  </si>
  <si>
    <t>ACC-SH-07</t>
  </si>
  <si>
    <t>بلية رولمان بلي</t>
  </si>
  <si>
    <t>ACC-SH-08</t>
  </si>
  <si>
    <t>قاعدة رولمان عادية مقاس 20</t>
  </si>
  <si>
    <t>ACC-SH-09</t>
  </si>
  <si>
    <t>قاعدة رولمان عادية مقاس 25 - 30</t>
  </si>
  <si>
    <t>ACC-SH-10</t>
  </si>
  <si>
    <t>قاعدة رولمان ببنز قياس 20.5</t>
  </si>
  <si>
    <t>ACC-SH-11</t>
  </si>
  <si>
    <t>قاعدة رولمان ببنز قياس 25 - 30</t>
  </si>
  <si>
    <t>ACC-SH-12</t>
  </si>
  <si>
    <t>علاقة أمان (4.5 سم)</t>
  </si>
  <si>
    <t>العلاقات</t>
  </si>
  <si>
    <t>ACC-SH-13</t>
  </si>
  <si>
    <t>علاقة أمان (6 سم)</t>
  </si>
  <si>
    <t>ACC-SH-14</t>
  </si>
  <si>
    <t>علاقة أمان (7 سم)</t>
  </si>
  <si>
    <t>ACC-SH-15</t>
  </si>
  <si>
    <t>علاقة شاتر سم (4.5 سم)</t>
  </si>
  <si>
    <t>ACC-SH-16</t>
  </si>
  <si>
    <t>علاقة شاتر سم (5.6 سم)</t>
  </si>
  <si>
    <t>ACC-SH-17</t>
  </si>
  <si>
    <t>علاقة شاتر بلاستيك</t>
  </si>
  <si>
    <t>ACC-SH-18</t>
  </si>
  <si>
    <t>عظمة شريحة (4.1 سم - 4.5 سم - 5.6 سم)</t>
  </si>
  <si>
    <t>العظم</t>
  </si>
  <si>
    <t>ACC-SH-19</t>
  </si>
  <si>
    <t>عظمة شريحة 5.5 سم زنكونيوم</t>
  </si>
  <si>
    <t>ACC-SH-20</t>
  </si>
  <si>
    <t>عظمة شريحة 7.7 سم</t>
  </si>
  <si>
    <t>ACC-SH-21</t>
  </si>
  <si>
    <t>عظمة شريحة 10 سم</t>
  </si>
  <si>
    <t>ACC-SH-22</t>
  </si>
  <si>
    <t>ماكينة شريط تركي</t>
  </si>
  <si>
    <t>أطقم شريط تركي</t>
  </si>
  <si>
    <t>ACC-SH-23</t>
  </si>
  <si>
    <t>محدد مسار شريط تركي</t>
  </si>
  <si>
    <t>ACC-SH-24</t>
  </si>
  <si>
    <t>صداد تركي</t>
  </si>
  <si>
    <t>ACC-SH-25</t>
  </si>
  <si>
    <t>ماكينة شريط (أسباني - إيطالي)</t>
  </si>
  <si>
    <t>أطقم شريط أسباني وإيطالي</t>
  </si>
  <si>
    <t>ACC-SH-26</t>
  </si>
  <si>
    <t>محدد مسار (أسباني - إيطالي)</t>
  </si>
  <si>
    <t>ACC-SH-27</t>
  </si>
  <si>
    <t>طارة شريط (أسباني - إيطالي)</t>
  </si>
  <si>
    <t>ACC-SH-28</t>
  </si>
  <si>
    <t>موتور 6 نيوتن ( CHERUBINI ) إيطالي</t>
  </si>
  <si>
    <t>مواتير إيطالي عادة</t>
  </si>
  <si>
    <t>MOT-IT-01</t>
  </si>
  <si>
    <t>موتور 10 نيوتن ( CHERUBINI ) إيطالي</t>
  </si>
  <si>
    <t>MOT-IT-02</t>
  </si>
  <si>
    <t>موتور 15 نيوتن ( CHERUBINI ) إيطالي</t>
  </si>
  <si>
    <t>MOT-IT-03</t>
  </si>
  <si>
    <t>موتور 20 نيوتن ( CHERUBINI ) إيطالي</t>
  </si>
  <si>
    <t>MOT-IT-04</t>
  </si>
  <si>
    <t>موتور 30 نيوتن ( CHERUBINI ) إيطالي</t>
  </si>
  <si>
    <t>MOT-IT-05</t>
  </si>
  <si>
    <t>موتور 40 نيوتن ( CHERUBINI ) إيطالي</t>
  </si>
  <si>
    <t>MOT-IT-06</t>
  </si>
  <si>
    <t>موتور 50 نيوتن ( CHERUBINI ) إيطالي</t>
  </si>
  <si>
    <t>MOT-IT-07</t>
  </si>
  <si>
    <t>موتور الأحمال 65 نيوتن ( CHERUBINI ) إيطالي</t>
  </si>
  <si>
    <t>مواتير إيطالي أحمال</t>
  </si>
  <si>
    <t>MOT-IT-08</t>
  </si>
  <si>
    <t>موتور الأحمال 85 نيوتن ( CHERUBINI ) إيطالي</t>
  </si>
  <si>
    <t>MOT-IT-09</t>
  </si>
  <si>
    <t>موتور الأحمال 100 نيوتن ( CHERUBINI ) إيطالي</t>
  </si>
  <si>
    <t>MOT-IT-10</t>
  </si>
  <si>
    <t>موتور الأحمال 120 نيوتن ( CHERUBINI ) إيطالي</t>
  </si>
  <si>
    <t>MOT-IT-11</t>
  </si>
  <si>
    <t>موتور شورت ( CHERUBINI ) إيطالي</t>
  </si>
  <si>
    <t>مواتير إيطالي شورت</t>
  </si>
  <si>
    <t>MOT-IT-12</t>
  </si>
  <si>
    <t>موتور حساس 15 نيوتن ( CHERUBINI ) إيطالي</t>
  </si>
  <si>
    <t>مواتير إيطالي حساس</t>
  </si>
  <si>
    <t>MOT-IT-13</t>
  </si>
  <si>
    <t>موتور حساس 25 نيوتن ( CHERUBINI ) إيطالي</t>
  </si>
  <si>
    <t>MOT-IT-14</t>
  </si>
  <si>
    <t>موتور حساس 32 نيوتن ( CHERUBINI ) إيطالي</t>
  </si>
  <si>
    <t>MOT-IT-15</t>
  </si>
  <si>
    <t>موتور برسيفر 10 نيوتن ( CHERUBINI ) إيطالي</t>
  </si>
  <si>
    <t>مواتير إيطالي برسيفر</t>
  </si>
  <si>
    <t>MOT-IT-16</t>
  </si>
  <si>
    <t>موتور برسيفر 15 نيوتن ( CHERUBINI ) إيطالي</t>
  </si>
  <si>
    <t>MOT-IT-17</t>
  </si>
  <si>
    <t>موتور برسيفر 20 نيوتن ( CHERUBINI ) إيطالي</t>
  </si>
  <si>
    <t>MOT-IT-18</t>
  </si>
  <si>
    <t>موتور برسيفر 25 نيوتن ( CHERUBINI ) إيطالي</t>
  </si>
  <si>
    <t>MOT-IT-19</t>
  </si>
  <si>
    <t>موتور برسيفر 30 نيوتن ( CHERUBINI ) إيطالي</t>
  </si>
  <si>
    <t>MOT-IT-20</t>
  </si>
  <si>
    <t>موتور برسيفر 32 نيوتن ( CHERUBINI ) إيطالي</t>
  </si>
  <si>
    <t>MOT-IT-21</t>
  </si>
  <si>
    <t>موتور برسيفر 40 نيوتن ( CHERUBINI ) إيطالي</t>
  </si>
  <si>
    <t>MOT-IT-22</t>
  </si>
  <si>
    <t>موتور برسيفر 50 نيوتن ( CHERUBINI ) إيطالي</t>
  </si>
  <si>
    <t>MOT-IT-23</t>
  </si>
  <si>
    <t>موتور برسيفر 65 نيوتن ( CHERUBINI ) إيطالي</t>
  </si>
  <si>
    <t>MOT-IT-24</t>
  </si>
  <si>
    <t>موتور برسيفر 85 نيوتن ( CHERUBINI ) إيطالي</t>
  </si>
  <si>
    <t>MOT-IT-25</t>
  </si>
  <si>
    <t>موتور برسيفر 100 نيوتن ( CHERUBINI ) إيطالي</t>
  </si>
  <si>
    <t>MOT-IT-26</t>
  </si>
  <si>
    <t>موتور برسيفر 120 نيوتن ( CHERUBINI ) إيطالي</t>
  </si>
  <si>
    <t>MOT-IT-27</t>
  </si>
  <si>
    <t>موتور wave نيوتن 25 إيطالي ( CHERUBINI )</t>
  </si>
  <si>
    <t>مواتير إيطالي wave</t>
  </si>
  <si>
    <t>MOT-IT-28</t>
  </si>
  <si>
    <t>موتور wave نيوتن 40 إيطالي ( CHERUBINI )</t>
  </si>
  <si>
    <t>MOT-IT-29</t>
  </si>
  <si>
    <t>موتور wave نيوتن 50 إيطالي ( CHERUBINI )</t>
  </si>
  <si>
    <t>MOT-IT-30</t>
  </si>
  <si>
    <t>موتور wave نيوتن 120 إيطالي CHERUBINI</t>
  </si>
  <si>
    <t>MOT-IT-31</t>
  </si>
  <si>
    <t>موتور wave نيوتن 150 إيطالي ( CHERUBINI )</t>
  </si>
  <si>
    <t>MOT-IT-32</t>
  </si>
  <si>
    <t>موتور منفيلا إيطالي 15 نيوتن ( CHERUBINI )</t>
  </si>
  <si>
    <t>مواتير إيطالي منفيلا</t>
  </si>
  <si>
    <t>MOT-IT-33</t>
  </si>
  <si>
    <t>موتور منفيلا إيطالي 25 نيوتن ( CHERUBINI )</t>
  </si>
  <si>
    <t>MOT-IT-34</t>
  </si>
  <si>
    <t>موتور منفيلا إيطالي نيوتن 32 ( CHERUBINI )</t>
  </si>
  <si>
    <t>MOT-IT-35</t>
  </si>
  <si>
    <t>موتور منفيلا إيطالي 40 نيوتن ( CHERUBINI )</t>
  </si>
  <si>
    <t>MOT-IT-36</t>
  </si>
  <si>
    <t>موتور منفيلا إيطالي 50 نيوتن ( CHERUBINI )</t>
  </si>
  <si>
    <t>MOT-IT-37</t>
  </si>
  <si>
    <t>رسيفر كيروبيني ( أبيض )</t>
  </si>
  <si>
    <t>تحكم وريموت إيطالي</t>
  </si>
  <si>
    <t>MOT-IT-38</t>
  </si>
  <si>
    <t>رسيفر كيروبيني ( أسود )</t>
  </si>
  <si>
    <t>MOT-IT-39</t>
  </si>
  <si>
    <t>وحدة تحكم سمارت</t>
  </si>
  <si>
    <t>MOT-IT-40</t>
  </si>
  <si>
    <t>دراع محرك منفيلا إيطالي CHERUBINI</t>
  </si>
  <si>
    <t>ملحقات محرك إيطالي</t>
  </si>
  <si>
    <t>MOT-IT-41</t>
  </si>
  <si>
    <t>وصله موتور منفيلا إيطالي CHERUBINI</t>
  </si>
  <si>
    <t>MOT-IT-42</t>
  </si>
  <si>
    <t>ريموت بوب 1 قناه</t>
  </si>
  <si>
    <t>MOT-IT-43</t>
  </si>
  <si>
    <t>ريموت بوب متعدد</t>
  </si>
  <si>
    <t>MOT-IT-44</t>
  </si>
  <si>
    <t>ريموت جيرو 1 قناه</t>
  </si>
  <si>
    <t>MOT-IT-45</t>
  </si>
  <si>
    <t>ريموت جيرو متعدد</t>
  </si>
  <si>
    <t>MOT-IT-46</t>
  </si>
  <si>
    <t>قاعده محرك إيطالي</t>
  </si>
  <si>
    <t>MOT-IT-47</t>
  </si>
  <si>
    <t>قاعدة محرك أحمال</t>
  </si>
  <si>
    <t>MOT-IT-48</t>
  </si>
  <si>
    <t>اكسسوار محرك 60</t>
  </si>
  <si>
    <t>MOT-IT-49</t>
  </si>
  <si>
    <t>تحويله اكسسوار من 6 سم الى سم7</t>
  </si>
  <si>
    <t>MOT-IT-50</t>
  </si>
  <si>
    <t>اكسسوار محرك احمال 10</t>
  </si>
  <si>
    <t>MOT-IT-51</t>
  </si>
  <si>
    <t>تحويله اكسسوار من سم 7 الي سم9</t>
  </si>
  <si>
    <t>MOT-IT-52</t>
  </si>
  <si>
    <t>قاعدة محرك إيطالي جديدة مع قاعدة تثبيت</t>
  </si>
  <si>
    <t>MOT-IT-53</t>
  </si>
  <si>
    <t>موتور 6 نيوتن ( MOSEL ) (ستارة)</t>
  </si>
  <si>
    <t>مواتير تركي عادة</t>
  </si>
  <si>
    <t>MOT-TR-01</t>
  </si>
  <si>
    <t>موتور 10 نيوتن ( MOSEL )</t>
  </si>
  <si>
    <t>MOT-TR-02</t>
  </si>
  <si>
    <t>موتور 20 نيوتن ( MOSEL )</t>
  </si>
  <si>
    <t>MOT-TR-03</t>
  </si>
  <si>
    <t>موتور 30 نيوتن ( MOSEL )</t>
  </si>
  <si>
    <t>MOT-TR-04</t>
  </si>
  <si>
    <t>موتور 40 نيوتن ( MOSEL )</t>
  </si>
  <si>
    <t>MOT-TR-05</t>
  </si>
  <si>
    <t>موتور 50 نيوتن ( MOSEL )</t>
  </si>
  <si>
    <t>MOT-TR-06</t>
  </si>
  <si>
    <t>موتور 80 نيوتن ( MOSEL )</t>
  </si>
  <si>
    <t>MOT-TR-07</t>
  </si>
  <si>
    <t>موتور 100 نيوتن ( MOSEL )</t>
  </si>
  <si>
    <t>MOT-TR-08</t>
  </si>
  <si>
    <t>موتور 120 نيوتن ( MOSEL )</t>
  </si>
  <si>
    <t>MOT-TR-09</t>
  </si>
  <si>
    <t>موتور 140 نيوتن ( MOSEL )</t>
  </si>
  <si>
    <t>MOT-TR-10</t>
  </si>
  <si>
    <t>موتور 230 نيوتن ( MOSEL )</t>
  </si>
  <si>
    <t>MOT-TR-11</t>
  </si>
  <si>
    <t>موتور شورت 10 نيوتن ( MOSEL )</t>
  </si>
  <si>
    <t>مواتير تركي شورت</t>
  </si>
  <si>
    <t>MOT-TR-12</t>
  </si>
  <si>
    <t>موتور برسيفر 6 نيوتن ( MOSEL ) (ستارة)</t>
  </si>
  <si>
    <t>مواتير تركي برسيفر</t>
  </si>
  <si>
    <t>MOT-TR-13</t>
  </si>
  <si>
    <t>موتور برسيفر 10 نيوتن ( MOSEL )</t>
  </si>
  <si>
    <t>MOT-TR-14</t>
  </si>
  <si>
    <t>موتور برسيفر 20 نيوتن ( MOSEL )</t>
  </si>
  <si>
    <t>MOT-TR-15</t>
  </si>
  <si>
    <t>موتور برسيفر 30 نيوتن ( MOSEL )</t>
  </si>
  <si>
    <t>MOT-TR-16</t>
  </si>
  <si>
    <t>موتور برسيفر 40 نيوتن ( MOSEL )</t>
  </si>
  <si>
    <t>MOT-TR-17</t>
  </si>
  <si>
    <t>موتور برسيفر 50 نيوتن ( MOSEL )</t>
  </si>
  <si>
    <t>MOT-TR-18</t>
  </si>
  <si>
    <t>موتور برسيفر غلق/أحمال ( MOSEL )</t>
  </si>
  <si>
    <t>MOT-TR-19</t>
  </si>
  <si>
    <t>موتور مع آلية رفع يدوي 100 نيوتن ( MOSEL )</t>
  </si>
  <si>
    <t>مواتير تركي رفع يدوي</t>
  </si>
  <si>
    <t>MOT-TR-20</t>
  </si>
  <si>
    <t>موتور مع آلية رفع يدوي 120 نيوتن ( MOSEL )</t>
  </si>
  <si>
    <t>MOT-TR-21</t>
  </si>
  <si>
    <t>موتور مع آلية رفع يدوي 140 نيوتن ( MOSEL )</t>
  </si>
  <si>
    <t>MOT-TR-22</t>
  </si>
  <si>
    <t>موتور مع آلية رفع يدوي 80 نيوتن ( MOSEL )</t>
  </si>
  <si>
    <t>MOT-TR-23</t>
  </si>
  <si>
    <t>موتور منفيلا 20 نيوتن ( MOSEL )</t>
  </si>
  <si>
    <t>مواتير تركي منفيلا</t>
  </si>
  <si>
    <t>MOT-TR-24</t>
  </si>
  <si>
    <t>موتور منفيلا 30 نيوتن أحمال ( MOSEL )</t>
  </si>
  <si>
    <t>MOT-TR-25</t>
  </si>
  <si>
    <t>موتور منفيلا 230 نيوتن ( MOSEL )</t>
  </si>
  <si>
    <t>MOT-TR-26</t>
  </si>
  <si>
    <t>وصلة منفيلا 45 درجة</t>
  </si>
  <si>
    <t>ملحقات تركي</t>
  </si>
  <si>
    <t>MOT-TR-27</t>
  </si>
  <si>
    <t>دراع مع خطاف شاتر</t>
  </si>
  <si>
    <t>MOT-TR-28</t>
  </si>
  <si>
    <t>ريسيفر استقبال 265 تركي يمكن إضافة مفتاح</t>
  </si>
  <si>
    <t>تحكم وريموت تركي</t>
  </si>
  <si>
    <t>MOT-TR-29</t>
  </si>
  <si>
    <t>جهاز استقبال خارجي</t>
  </si>
  <si>
    <t>MOT-TR-30</t>
  </si>
  <si>
    <t>ريموت 1 قناة تركي</t>
  </si>
  <si>
    <t>MOT-TR-31</t>
  </si>
  <si>
    <t>ريموت 5 قناة تركي</t>
  </si>
  <si>
    <t>MOT-TR-32</t>
  </si>
  <si>
    <t>ريموت قنوات إرسال 114 قناة</t>
  </si>
  <si>
    <t>MOT-TR-33</t>
  </si>
  <si>
    <t>ريموت قنوات إرسال 18 قناة</t>
  </si>
  <si>
    <t>MOT-TR-34</t>
  </si>
  <si>
    <t>ريسفر جراج أبيض</t>
  </si>
  <si>
    <t>MOT-TR-35</t>
  </si>
  <si>
    <t>ريموت جراج 1 قناة</t>
  </si>
  <si>
    <t>MOT-TR-36</t>
  </si>
  <si>
    <t>وحدة تحكم تركي 4 محرك</t>
  </si>
  <si>
    <t>MOT-TR-37</t>
  </si>
  <si>
    <t>مفتاح باب حماية خارجي أكسا</t>
  </si>
  <si>
    <t>MOT-TR-38</t>
  </si>
  <si>
    <t>مفتاح خارجي زراير</t>
  </si>
  <si>
    <t>تحكم ومفاتيح</t>
  </si>
  <si>
    <t>SHUT-ACC-01</t>
  </si>
  <si>
    <t>مجرى شريحة ك سم 5.6 + ص سم4.5 ) بدهان</t>
  </si>
  <si>
    <t>المجاري والنهايات</t>
  </si>
  <si>
    <t>SHUT-ACC-02</t>
  </si>
  <si>
    <t>مجرى شريحة ك 5.6 سم + ص سم4.5 ) بدون دهان</t>
  </si>
  <si>
    <t>SHUT-ACC-03</t>
  </si>
  <si>
    <t>نهاية للشريحة (ك سم 5.6 + ص سم4.5 ) دهان</t>
  </si>
  <si>
    <t>SHUT-ACC-04</t>
  </si>
  <si>
    <t>نهاية للشريحة (ك 5.6 سم + ص سم4.5 ) بدون دهان</t>
  </si>
  <si>
    <t>SHUT-ACC-05</t>
  </si>
  <si>
    <t>مجرى شريحة 7.7 سم أبيض UPVC (W1400)</t>
  </si>
  <si>
    <t>SHUT-ACC-06</t>
  </si>
  <si>
    <t>محور طمبوره 6 سم</t>
  </si>
  <si>
    <t>المحاور</t>
  </si>
  <si>
    <t>SHUT-ACC-07</t>
  </si>
  <si>
    <t>محور طمبوره 7 سم</t>
  </si>
  <si>
    <t>SHUT-ACC-08</t>
  </si>
  <si>
    <t>كالون سلندر عريض فورناكس</t>
  </si>
  <si>
    <t>كوالين وسلندرات</t>
  </si>
  <si>
    <t>ACC-LCK-SCW</t>
  </si>
  <si>
    <t>كالون سلندر رفيع فورناكس</t>
  </si>
  <si>
    <t>ACC-LCK-SCR</t>
  </si>
  <si>
    <t>كالون إشارة عريض فورناكس</t>
  </si>
  <si>
    <t>ACC-LCK-SIW</t>
  </si>
  <si>
    <t>كالون إشارة رفيع فورناكس</t>
  </si>
  <si>
    <t>ACC-LCK-SIR</t>
  </si>
  <si>
    <t>سلندر كالون سم 9</t>
  </si>
  <si>
    <t>ACC-LCK-SL9</t>
  </si>
  <si>
    <t>كالون إشارة (صغير) 25 / 85</t>
  </si>
  <si>
    <t>ACC-LCK-SI25</t>
  </si>
  <si>
    <t>كالون إشارة عريض 35 / 85</t>
  </si>
  <si>
    <t>ACC-LCK-SI35</t>
  </si>
  <si>
    <t>كالون سلندر رفيع 25 / 85</t>
  </si>
  <si>
    <t>ACC-LCK-SL25</t>
  </si>
  <si>
    <t>كالون سلندر عريض 35 / 85</t>
  </si>
  <si>
    <t>ACC-LCK-SL35</t>
  </si>
  <si>
    <t>وش تسكيك كالون صغير</t>
  </si>
  <si>
    <t>أنظمة التسكيك</t>
  </si>
  <si>
    <t>ACC-TSK-WSS</t>
  </si>
  <si>
    <t>وش تسكيك كالون كبير</t>
  </si>
  <si>
    <t>ACC-TSK-WSB</t>
  </si>
  <si>
    <t>سكاك مفصلي 2 ضلفة زاما</t>
  </si>
  <si>
    <t>ACC-TSK-SK2Z</t>
  </si>
  <si>
    <t>سكاك مفصلي 1 ضلفة زاما</t>
  </si>
  <si>
    <t>ACC-TSK-SK1Z</t>
  </si>
  <si>
    <t>سكاك جرار صاج</t>
  </si>
  <si>
    <t>ACC-TSK-SKGS</t>
  </si>
  <si>
    <t>تجميع مليون مفصلي معدن جديد اكسا</t>
  </si>
  <si>
    <t>ACC-TSK-M1M</t>
  </si>
  <si>
    <t>تجميع مليون مفصلي</t>
  </si>
  <si>
    <t>ACC-TSK-M1F</t>
  </si>
  <si>
    <t>تجميع مليون جرار</t>
  </si>
  <si>
    <t>ACC-TSK-M1G</t>
  </si>
  <si>
    <t>ترباس بالسكاك (فورناكس)</t>
  </si>
  <si>
    <t>ACC-TSK-TRSF</t>
  </si>
  <si>
    <t>ترباس عام بوكلير بديل فورناكس</t>
  </si>
  <si>
    <t>ACC-TSK-TRB</t>
  </si>
  <si>
    <t>سكاك ترباس عام بديل فورناكس</t>
  </si>
  <si>
    <t>ACC-TSK-SKTR</t>
  </si>
  <si>
    <t>ترباس بيد (أحمر)</t>
  </si>
  <si>
    <t>ACC-TSK-TRRH</t>
  </si>
  <si>
    <t>عصفورة أمان (أبيض - بيج - خشبي)</t>
  </si>
  <si>
    <t>ACC-TSK-ASF</t>
  </si>
  <si>
    <t>دراع قلاب فورناكس</t>
  </si>
  <si>
    <t>ACC-TSK-DQF</t>
  </si>
  <si>
    <t>دراع قلاب خفيف (اقتصادي)</t>
  </si>
  <si>
    <t>ACC-TSK-DQL</t>
  </si>
  <si>
    <t>عصفورة (أبيض-بيج-بني/جولدن أوك)</t>
  </si>
  <si>
    <t>ACC-TSK-ASP</t>
  </si>
  <si>
    <t>مسمار 3.5 سم (تجميع قطاعات)</t>
  </si>
  <si>
    <t>المسامير</t>
  </si>
  <si>
    <t>ACC-SCR-35</t>
  </si>
  <si>
    <t>مسمار 4.5 سم (ربط مفصلات)</t>
  </si>
  <si>
    <t>ACC-SCR-45</t>
  </si>
  <si>
    <t>مسمار فشر 10 سم ثقيل للمباني</t>
  </si>
  <si>
    <t>ACC-SCR-F10</t>
  </si>
  <si>
    <t>مسمار سن صاج صغير لإكسسوارات</t>
  </si>
  <si>
    <t>ACC-SCR-S5</t>
  </si>
  <si>
    <t>لينة زجاج رفيعة</t>
  </si>
  <si>
    <t>إكسسوارات البلاستيك</t>
  </si>
  <si>
    <t>ACC-PL-LZR</t>
  </si>
  <si>
    <t>لينة زجاج عريضة</t>
  </si>
  <si>
    <t>ACC-PL-LZW</t>
  </si>
  <si>
    <t>طبة مسمار محارة (أبيض/بيج/جولدن)</t>
  </si>
  <si>
    <t>ACC-PL-TBM</t>
  </si>
  <si>
    <t>غطاء فتحة مطر (أبيض/بيج/جولدن)</t>
  </si>
  <si>
    <t>ACC-PL-GTM</t>
  </si>
  <si>
    <t>تجميع سؤاس ضلفة سلك</t>
  </si>
  <si>
    <t>ACC-PL-TGS</t>
  </si>
  <si>
    <t>كاوتش قطاعات كومبن</t>
  </si>
  <si>
    <t>ACC-PL-KWT</t>
  </si>
  <si>
    <t>سيليكون ماستيك (أبيض-بيج-بني) تركي</t>
  </si>
  <si>
    <t>السيليكون والفوم</t>
  </si>
  <si>
    <t>ACC-SLF-SMW</t>
  </si>
  <si>
    <t>سيليكون (رمادي - خشبي)</t>
  </si>
  <si>
    <t>ACC-SLF-SLC</t>
  </si>
  <si>
    <t>فووم 750 جم مسدس</t>
  </si>
  <si>
    <t>ACC-SLF-FM75</t>
  </si>
  <si>
    <t>مسدس سيليكون</t>
  </si>
  <si>
    <t>ACC-SLF-GNS</t>
  </si>
  <si>
    <t>مسدس فووم لوكس</t>
  </si>
  <si>
    <t>ACC-SLF-GNF1</t>
  </si>
  <si>
    <t>مسدس فوم عادة</t>
  </si>
  <si>
    <t>ACC-SLF-GNF2</t>
  </si>
  <si>
    <t>رافعة زجاج (هوستوس)</t>
  </si>
  <si>
    <t>ACC-SLF-RFZ</t>
  </si>
  <si>
    <t>دقماق</t>
  </si>
  <si>
    <t>ACC-SLF-DQM</t>
  </si>
  <si>
    <t>عجلة شد سلك</t>
  </si>
  <si>
    <t>ACC-SLF-WLG</t>
  </si>
  <si>
    <t>بكرة استرتش</t>
  </si>
  <si>
    <t>ACC-SLF-STR</t>
  </si>
  <si>
    <t>ورق حراري</t>
  </si>
  <si>
    <t>ACC-SLF-WQR</t>
  </si>
  <si>
    <t>سبراي فوم</t>
  </si>
  <si>
    <t>ACC-SLF-SPF</t>
  </si>
  <si>
    <t>عجلة سلك جرار</t>
  </si>
  <si>
    <t>إكسسوارات السلك</t>
  </si>
  <si>
    <t>ACC-NW-WLG</t>
  </si>
  <si>
    <t>جوان تثبيت سلك وسط</t>
  </si>
  <si>
    <t>ACC-NW-JW1</t>
  </si>
  <si>
    <t>جوان تثبيت سلك رفيع</t>
  </si>
  <si>
    <t>ACC-NW-JW2</t>
  </si>
  <si>
    <t>جوان تثبيت سلك عريض</t>
  </si>
  <si>
    <t>ACC-NW-JW3</t>
  </si>
  <si>
    <t>كورنر سلك مفصلي (أبيض/بيج/جولدن)</t>
  </si>
  <si>
    <t>ACC-NW-KRN</t>
  </si>
  <si>
    <t>طقم عجل فولدنج (بوجيه)</t>
  </si>
  <si>
    <t>أنظمة الفولدنج</t>
  </si>
  <si>
    <t>ACC-FLD-WLB</t>
  </si>
  <si>
    <t>طقم كفرات عجل فولدنج</t>
  </si>
  <si>
    <t>ACC-FLD-WLC</t>
  </si>
  <si>
    <t>مفصلة فولدنج</t>
  </si>
  <si>
    <t>ACC-FLD-HNG</t>
  </si>
  <si>
    <t>كفر مفصلة فولدنج</t>
  </si>
  <si>
    <t>ACC-FLD-HNC</t>
  </si>
  <si>
    <t>علاية مفصلة فولدنج</t>
  </si>
  <si>
    <t>ACC-FLD-HNA</t>
  </si>
  <si>
    <t>زاوية فولدنج</t>
  </si>
  <si>
    <t>ACC-FLD-ZW</t>
  </si>
  <si>
    <t>ACC-FLD-HNM</t>
  </si>
  <si>
    <t>مفصلة حلق سفلية للفولدنج</t>
  </si>
  <si>
    <t>ACC-FLD-HNGB</t>
  </si>
  <si>
    <t>تسكيك فولدنج كبير</t>
  </si>
  <si>
    <t>ACC-FLD-TSKB</t>
  </si>
  <si>
    <t>تسكيك زاوية فولدنج</t>
  </si>
  <si>
    <t>ACC-FLD-TSKZ</t>
  </si>
  <si>
    <t>سلك بليسيه مستورد بوليستر نخب أول</t>
  </si>
  <si>
    <t>أنظمة البليسيه</t>
  </si>
  <si>
    <t>ACC-PLS-NET1</t>
  </si>
  <si>
    <t>خيط بليسيه تركي كورد ثقيل مقاوم</t>
  </si>
  <si>
    <t>ACC-PLS-KRD</t>
  </si>
  <si>
    <t>شريط لاصق فيبر دبل فيس شفاف</t>
  </si>
  <si>
    <t>ACC-PLS-STK</t>
  </si>
  <si>
    <t>طقم كورنر بليسيه تجميع سريع</t>
  </si>
  <si>
    <t>ACC-PLS-KRN</t>
  </si>
  <si>
    <t>مفصلة شاور زجاج / حائط 90 درجة</t>
  </si>
  <si>
    <t>إكسسوارات الشاور</t>
  </si>
  <si>
    <t>ACC-SHW-HNG</t>
  </si>
  <si>
    <t>مقبض شاور استيل مستدير ومستطيل</t>
  </si>
  <si>
    <t>ACC-SHW-STB</t>
  </si>
  <si>
    <t>جوان مغناطيسي شاور 180 درجة</t>
  </si>
  <si>
    <t>ACC-SHW-JW1</t>
  </si>
  <si>
    <t>جوان شاور مانع تسريب سفلي بجناح</t>
  </si>
  <si>
    <t>ACC-SHW-JW2</t>
  </si>
  <si>
    <t>ماسورة تثبيت شاور استيل 25 ملم</t>
  </si>
  <si>
    <t>ACC-SHW-PIP</t>
  </si>
  <si>
    <t>ماكينة لحام نيو أكسا (سمارت)</t>
  </si>
  <si>
    <t>الماكينات والمعدات</t>
  </si>
  <si>
    <t>MAC-EQP-WLD1</t>
  </si>
  <si>
    <t>ماكينة لحام زيرو شاهين (أكسا)</t>
  </si>
  <si>
    <t>MAC-EQP-WLD2</t>
  </si>
  <si>
    <t>منشار من أعلى لأسفل أتوماتيك بدون استاند</t>
  </si>
  <si>
    <t>MAC-EQP-SAW1</t>
  </si>
  <si>
    <t>منشار من أسفل لأعلى أتوماتيك بدون استاند</t>
  </si>
  <si>
    <t>MAC-EQP-SAW2</t>
  </si>
  <si>
    <t>منشار من اعلي لاسفل 16 بدون طبلية (مانويل)</t>
  </si>
  <si>
    <t>MAC-EQP-SAW3</t>
  </si>
  <si>
    <t>فريزة ثلاثية</t>
  </si>
  <si>
    <t>MAC-EQP-FRZ</t>
  </si>
  <si>
    <t>ماكينات سؤسات هواء</t>
  </si>
  <si>
    <t>MAC-EQP-AIR</t>
  </si>
  <si>
    <t>شباك كومبن جرار بار 3,8 ضلفة شباك</t>
  </si>
  <si>
    <t xml:space="preserve"> كومبن  UPVC</t>
  </si>
  <si>
    <t>W01KP</t>
  </si>
  <si>
    <t>شباك كومبن جرار بار 3,8 ضلفة باب</t>
  </si>
  <si>
    <t>W02KP</t>
  </si>
  <si>
    <t>شباك كومبن جرار بار 6 ضلفة شباك</t>
  </si>
  <si>
    <t>W03KP</t>
  </si>
  <si>
    <t>شباك كومبن جرار بار 6 ضلفة باب</t>
  </si>
  <si>
    <t>W04KP</t>
  </si>
  <si>
    <t>شباك كومبن جرار بدون بار ضلفة شباك</t>
  </si>
  <si>
    <t>W05KP</t>
  </si>
  <si>
    <t>شباك كومبن جرار بدون بار ضلفة باب</t>
  </si>
  <si>
    <t>W06KP</t>
  </si>
  <si>
    <t>شباك كومبن جرار بار 3,8 ضلفة شباك بسقاس</t>
  </si>
  <si>
    <t>W07KP</t>
  </si>
  <si>
    <t>شباك كومبن جرار بار 3,8 ضلفة باب بسقاس</t>
  </si>
  <si>
    <t>W08KP</t>
  </si>
  <si>
    <t>شباك كومبن جرار بار 6 ضلفة شباك بسقاس</t>
  </si>
  <si>
    <t>W09KP</t>
  </si>
  <si>
    <t>شباك كومبن جرار بار 6 ضلفة باب بسقاس</t>
  </si>
  <si>
    <t>W10KP</t>
  </si>
  <si>
    <t>شباك كومبن جرار بدون بار ضلفة شباك بسقاس</t>
  </si>
  <si>
    <t>W11KP</t>
  </si>
  <si>
    <t>شباك كومبن جرار بدون بار ضلفة باب بسقاس</t>
  </si>
  <si>
    <t>W12KP</t>
  </si>
  <si>
    <t>شباك كومبن جرار  بار 3,8 ضلفة شباك + دوران</t>
  </si>
  <si>
    <t>W13KP</t>
  </si>
  <si>
    <t>شباك كومبن جرار  بار 3,8 ضلفة باب + دوران</t>
  </si>
  <si>
    <t>W14KP</t>
  </si>
  <si>
    <t>شباك كومبن جرار  بار 6 ضلفة شباك + دوران</t>
  </si>
  <si>
    <t>W15KP</t>
  </si>
  <si>
    <t>شباك كومبن جرار  بار 6 ضلفة باب + دوران</t>
  </si>
  <si>
    <t>W16KP</t>
  </si>
  <si>
    <t>شباك كومبن جرار 3 ضلفة زجاج شباك بدون بار بدون سلك</t>
  </si>
  <si>
    <t>W17KP</t>
  </si>
  <si>
    <t>شباك كومبن جرار 3 ضلفة زجاج باب بدون بار بدون سلك</t>
  </si>
  <si>
    <t>W18KP</t>
  </si>
  <si>
    <t>شباك كومبن جرار 3 ضلفة زجاج شباك بار كلبس بدون سلك</t>
  </si>
  <si>
    <t>W19KP</t>
  </si>
  <si>
    <t>شباك كومبن جرار 3 ضلفة زجاج باب بار كلبس بدون سلك</t>
  </si>
  <si>
    <t>W20KP</t>
  </si>
  <si>
    <t>شباك كومبن جرار 3 ضلفة زجاج شباك بدون بار + سلك</t>
  </si>
  <si>
    <t>W21KP</t>
  </si>
  <si>
    <t>شباك كومبن جرار 3 ضلفة زجاج باب بدون بار + سلك</t>
  </si>
  <si>
    <t>W22KP</t>
  </si>
  <si>
    <t>شباك كومبن جرار 3 ضلفة زجاج شباك بار كلبس + سلك</t>
  </si>
  <si>
    <t>W23KP</t>
  </si>
  <si>
    <t>شباك كومبن جرار 3 ضلفة زجاج باب بار كلبس + سلك</t>
  </si>
  <si>
    <t>W24KP</t>
  </si>
  <si>
    <t>شباك كومبن جرار 3 ضلفة زجاج شباك بدون بار بدون سلك بسقاس</t>
  </si>
  <si>
    <t>W25KP</t>
  </si>
  <si>
    <t>شباك كومبن جرار 3 ضلفة زجاج باب بدون بار بدون سلك بسقاس</t>
  </si>
  <si>
    <t>W26KP</t>
  </si>
  <si>
    <t>شباك كومبن جرار 3 ضلفة زجاج شباك بار كلبس بدون سلك بسقاس</t>
  </si>
  <si>
    <t>W27KP</t>
  </si>
  <si>
    <t>شباك كومبن جرار 3 ضلفة زجاج باب بار كلبس بدون سلك بسقاس</t>
  </si>
  <si>
    <t>W28KP</t>
  </si>
  <si>
    <t>شباك كومبن جرار 3 ضلفة زجاج شباك بدون بار + سلك بسقاس</t>
  </si>
  <si>
    <t>W29KP</t>
  </si>
  <si>
    <t>شباك كومبن جرار 3 ضلفة زجاج باب بدون بار + سلك بسقاس</t>
  </si>
  <si>
    <t>W30KP</t>
  </si>
  <si>
    <t>شباك كومبن جرار 3 ضلفة زجاج شباك بار كلبس + سلك بسقاس</t>
  </si>
  <si>
    <t>W31KP</t>
  </si>
  <si>
    <t>شباك كومبن جرار 3 ضلفة زجاج باب بار كلبس + سلك بسقاس</t>
  </si>
  <si>
    <t>W32KP</t>
  </si>
  <si>
    <t>شباك كومبن جرار 4 ضلفه بار 3,8 ضلفة شباك</t>
  </si>
  <si>
    <t>W33KP</t>
  </si>
  <si>
    <t>شباك كومبن جرار 4 ضلفه بار 3,8 ضلفة باب</t>
  </si>
  <si>
    <t>W34KP</t>
  </si>
  <si>
    <t>شباك كومبن جرار 4 ضلفه بار 6 ضلفة شباك</t>
  </si>
  <si>
    <t>W35KP</t>
  </si>
  <si>
    <t>شباك كومبن جرار 4 ضلفه بار 6 ضلفة باب</t>
  </si>
  <si>
    <t>W36KP</t>
  </si>
  <si>
    <t>شباك كومبن جرار بدون 4 ضلفه بار ضلفة شباك</t>
  </si>
  <si>
    <t>W37KP</t>
  </si>
  <si>
    <t>شباك كومبن جرار 4 ضلفه بدون بار ضلفة باب</t>
  </si>
  <si>
    <t>W38KP</t>
  </si>
  <si>
    <t>شباك كومبن جرار 4 ضلفه بار 3,8 ضلفة شباك بسقاس</t>
  </si>
  <si>
    <t>W39KP</t>
  </si>
  <si>
    <t>شباك كومبن جرار 4 ضلفه بار 3,8 ضلفة باب بسقاس</t>
  </si>
  <si>
    <t>W40KP</t>
  </si>
  <si>
    <t>شباك كومبن جرار بار 4 ضلفه بار 6 ضلفة شباك بسقاس</t>
  </si>
  <si>
    <t>W41KP</t>
  </si>
  <si>
    <t>شباك كومبن جرار 4 ضلفه بار 6 ضلفة باب بسقاس</t>
  </si>
  <si>
    <t>W42KP</t>
  </si>
  <si>
    <t>شباك كومبن جرار 4 ضلفه بدون بار ضلفة شباك بسقاس</t>
  </si>
  <si>
    <t>W43KP</t>
  </si>
  <si>
    <t>شباك كومبن جرار 4 ضلفه بدون بار ضلفة باب بسقاس</t>
  </si>
  <si>
    <t>W44KP</t>
  </si>
  <si>
    <t>شباك كومبن مفصلي 1 ضلفه شباك بار 3,8 سلك ثابت</t>
  </si>
  <si>
    <t>W45KP</t>
  </si>
  <si>
    <t>شباك كومبن مفصلي 1 ضلفه شباك بار 6 سلك ثابت</t>
  </si>
  <si>
    <t>W46KP</t>
  </si>
  <si>
    <t>شباك كومبن مفصلي 1 ضلفه شباك بدون بار سلك ثابت</t>
  </si>
  <si>
    <t>W47KP</t>
  </si>
  <si>
    <t>شباك كومبن مفصلي 1 ضلفه شباك بار 3,8 ضلفة سلك ثابته</t>
  </si>
  <si>
    <t>W48KP</t>
  </si>
  <si>
    <t>شباك كومبن مفصلي 1 ضلفه شباك بار 6 ضلفة سلك ثابته</t>
  </si>
  <si>
    <t>W49KP</t>
  </si>
  <si>
    <t>شباك كومبن مفصلي 1 ضلفه شباك بدون بار ضلفة سلك ثابته</t>
  </si>
  <si>
    <t>W50KP</t>
  </si>
  <si>
    <t>شباك كومبن مفصلي 1 ضلفه شباك بار 3,8 باندا</t>
  </si>
  <si>
    <t>W51KP</t>
  </si>
  <si>
    <t>شباك كومبن مفصلي 1 ضلفه شباك بار 6 باندا</t>
  </si>
  <si>
    <t>W52KP</t>
  </si>
  <si>
    <t>شباك كومبن مفصلي 1 ضلفه شباك بدون بار باندا</t>
  </si>
  <si>
    <t>W53KP</t>
  </si>
  <si>
    <t>شباك كومبن مفصلي 1 ضلفه باب بار 3,8 سلك ثابت</t>
  </si>
  <si>
    <t>W54KP</t>
  </si>
  <si>
    <t>شباك كومبن مفصلي 1 ضلفه باب بار 6 سلك ثابت</t>
  </si>
  <si>
    <t>W55KP</t>
  </si>
  <si>
    <t>شباك كومبن مفصلي 1 ضلفه باب بدون بار سلك ثابت</t>
  </si>
  <si>
    <t>W56KP</t>
  </si>
  <si>
    <t>شباك كومبن مفصلي 1 ضلفه باب بار 3,8 ضلفة سلك ثابته</t>
  </si>
  <si>
    <t>W57KP</t>
  </si>
  <si>
    <t>شباك كومبن مفصلي 1 ضلفه باب بار 6 ضلفة سلك ثابته</t>
  </si>
  <si>
    <t>W58KP</t>
  </si>
  <si>
    <t>شباك كومبن مفصلي 1 ضلفه باب بدون بار ضلفة سلك ثابته</t>
  </si>
  <si>
    <t>W59KP</t>
  </si>
  <si>
    <t>شباك كومبن مفصلي 1 ضلفه باب بار 3,8 باندا</t>
  </si>
  <si>
    <t>W60KP</t>
  </si>
  <si>
    <t>شباك كومبن مفصلي 1 ضلفه باب بار 6 باندا</t>
  </si>
  <si>
    <t>W61KP</t>
  </si>
  <si>
    <t>شباك كومبن مفصلي 1 ضلفه باب بدون بار باندا</t>
  </si>
  <si>
    <t>W62KP</t>
  </si>
  <si>
    <t>شباك كومبن مفصلي 2 ضلفه شباك بار 3,8 بدون سلك</t>
  </si>
  <si>
    <t>W63KP</t>
  </si>
  <si>
    <t>شباك كومبن مفصلي 2 ضلفه شباك بار 6 بدون سلك</t>
  </si>
  <si>
    <t>W64KP</t>
  </si>
  <si>
    <t>شباك كومبن مفصلي 2 ضلفه شباك بدون بار بدون سلك</t>
  </si>
  <si>
    <t>W65KP</t>
  </si>
  <si>
    <t>شباك كومبن مفصلي 2 ضلفه شباك بار 3,8 ضلفة سلك ثابته</t>
  </si>
  <si>
    <t>W66KP</t>
  </si>
  <si>
    <t>شباك كومبن مفصلي 2 ضلفه شباك بار 6 ضلفة سلك ثابته</t>
  </si>
  <si>
    <t>W67KP</t>
  </si>
  <si>
    <t>شباك كومبن مفصلي 2 ضلفه شباك بدون بار ضلفة سلك ثابته</t>
  </si>
  <si>
    <t>W68KP</t>
  </si>
  <si>
    <t>شباك كومبن مفصلي 2 ضلفه شباك بار 3,8 باندا</t>
  </si>
  <si>
    <t>W69KP</t>
  </si>
  <si>
    <t>شباك كومبن مفصلي 2 ضلفه شباك بار 6 باندا</t>
  </si>
  <si>
    <t>W70KP</t>
  </si>
  <si>
    <t>شباك كومبن مفصلي 2 ضلفه شباك بدون بار باندا</t>
  </si>
  <si>
    <t>W71KP</t>
  </si>
  <si>
    <t>شباك كومبن مفصلي 2 ضلفه باب بار 3,8 بدون سلك</t>
  </si>
  <si>
    <t>W72KP</t>
  </si>
  <si>
    <t>شباك كومبن مفصلي 2 ضلفه باب بار 6 بدون سلك</t>
  </si>
  <si>
    <t>W73KP</t>
  </si>
  <si>
    <t>شباك كومبن مفصلي 2 ضلفه باب بدون بار بدون سلك</t>
  </si>
  <si>
    <t>W74KP</t>
  </si>
  <si>
    <t>شباك كومبن مفصلي 2 ضلفه باب بار 3,8 ضلفة سلك ثابته</t>
  </si>
  <si>
    <t>W75KP</t>
  </si>
  <si>
    <t>شباك كومبن مفصلي 2 ضلفه باب بار 6 ضلفة سلك ثابته</t>
  </si>
  <si>
    <t>W76KP</t>
  </si>
  <si>
    <t>شباك كومبن مفصلي 2 ضلفه باب بدون بار ضلفة سلك ثابته</t>
  </si>
  <si>
    <t>W77KP</t>
  </si>
  <si>
    <t>شباك كومبن مفصلي 2 ضلفه باب بار 3,8 باندا</t>
  </si>
  <si>
    <t>W78KP</t>
  </si>
  <si>
    <t>شباك كومبن مفصلي 2 ضلفه باب بار 6 باندا</t>
  </si>
  <si>
    <t>W79KP</t>
  </si>
  <si>
    <t>شباك كومبن مفصلي 2 ضلفه باب بدون بار باندا</t>
  </si>
  <si>
    <t>W80KP</t>
  </si>
  <si>
    <t>شباك قلاب 1 ضلفه بار 3,8</t>
  </si>
  <si>
    <t>W81KP</t>
  </si>
  <si>
    <t>شباك قلاب 1 ضلفه بار 6</t>
  </si>
  <si>
    <t>W82KP</t>
  </si>
  <si>
    <t>شباك قلاب 1 ضلفه بدون بار</t>
  </si>
  <si>
    <t>W83KP</t>
  </si>
  <si>
    <t>شباك قلاب 2 ضلفه بار 3,8</t>
  </si>
  <si>
    <t>W84KP</t>
  </si>
  <si>
    <t>شباك قلاب 2 ضلفه بار 6</t>
  </si>
  <si>
    <t>W85KP</t>
  </si>
  <si>
    <t>شباك قلاب 2 ضلفه بدون بار</t>
  </si>
  <si>
    <t>W86KP</t>
  </si>
  <si>
    <t>شباك قلاب 1 ضلفه بار 3,8 + قطعة ثابت</t>
  </si>
  <si>
    <t>W87KP</t>
  </si>
  <si>
    <t>شباك قلاب 1 ضلفه بار 6 + قطعة ثابت</t>
  </si>
  <si>
    <t>W88KP</t>
  </si>
  <si>
    <t>شباك قلاب 1 ضلفه بدون بار + قطعة ثابت</t>
  </si>
  <si>
    <t>W89KP</t>
  </si>
  <si>
    <t>شباك قلاب 1 ضلفه بار 3,8 + قطعتين ثابت</t>
  </si>
  <si>
    <t>W90KP</t>
  </si>
  <si>
    <t>شباك قلاب 1 ضلفه بار 6 + قطعتين ثابت</t>
  </si>
  <si>
    <t>W91KP</t>
  </si>
  <si>
    <t>شباك قلاب 1 ضلفه بدون بار + قطعتين ثابت</t>
  </si>
  <si>
    <t>W92KP</t>
  </si>
  <si>
    <t>شباك قلاب 1 ضلفه بار 3,8 + 3 قطع ثابت</t>
  </si>
  <si>
    <t>W93KP</t>
  </si>
  <si>
    <t>شباك قلاب 1 ضلفه بار 6 + 3 قطع ثابت</t>
  </si>
  <si>
    <t>W94KP</t>
  </si>
  <si>
    <t>شباك قلاب 1 ضلفه بدون بار + 3 قطع ثابت</t>
  </si>
  <si>
    <t>W95KP</t>
  </si>
  <si>
    <t>ثابت مفصلى بار 3,8</t>
  </si>
  <si>
    <t>W96KP</t>
  </si>
  <si>
    <t>ثابت مفصلى بار 6</t>
  </si>
  <si>
    <t>W97KP</t>
  </si>
  <si>
    <t>ثابت مفصلى بدون بار</t>
  </si>
  <si>
    <t>W98KP</t>
  </si>
  <si>
    <t>بلكونه مفصلى 1 ضلفه شباك بار 3,8 بسقاس بدون سلك</t>
  </si>
  <si>
    <t>W99KP</t>
  </si>
  <si>
    <t>بلكونه مفصلى 1 ضلفه شباك بار 6 بسقاس بدون سلك</t>
  </si>
  <si>
    <t>W100KP</t>
  </si>
  <si>
    <t>بلكونه مفصلى 1 ضلفه شباك بدون بار بسقاس بدون سلك</t>
  </si>
  <si>
    <t>W101KP</t>
  </si>
  <si>
    <t>بلكونه مفصلى 1 ضلفه شباك بار 3,8 بسقاس باندا</t>
  </si>
  <si>
    <t>W102KP</t>
  </si>
  <si>
    <t>بلكونه مفصلى 1 ضلفه شباك بار 6 بسقاس باندا</t>
  </si>
  <si>
    <t>W103KP</t>
  </si>
  <si>
    <t>بلكونه مفصلى 1 ضلفه شباك بدون بار بسقاس باندا</t>
  </si>
  <si>
    <t>W104KP</t>
  </si>
  <si>
    <t>بلكونه مفصلى 1 ضلفه باب بار 3,8 بسقاس بدون سلك</t>
  </si>
  <si>
    <t>W105KP</t>
  </si>
  <si>
    <t>بلكونه مفصلى 1 ضلفه باب بار 6 بسقاس بدون سلك</t>
  </si>
  <si>
    <t>W106KP</t>
  </si>
  <si>
    <t>بلكونه مفصلى 1 ضلفه باب بدون بار بسقاس بدون سلك</t>
  </si>
  <si>
    <t>W107KP</t>
  </si>
  <si>
    <t>بلكونه مفصلى 1 ضلفه باب بار 3,8 بسقاس باندا</t>
  </si>
  <si>
    <t>W108KP</t>
  </si>
  <si>
    <t>بلكونه مفصلى 1 ضلفه باب بار 6 بسقاس باندا</t>
  </si>
  <si>
    <t>W109KP</t>
  </si>
  <si>
    <t>بلكونه مفصلى 1 ضلفه باب بدون بار بسقاس باندا</t>
  </si>
  <si>
    <t>W110KP</t>
  </si>
  <si>
    <t>بلكونه مفصلى 2 ضلفه شباك بار 3,8 بسقاس بدون سلك</t>
  </si>
  <si>
    <t>W111KP</t>
  </si>
  <si>
    <t>بلكونه مفصلى 2 ضلفه شباك بار 6 بسقاس بدون سلك</t>
  </si>
  <si>
    <t>W112KP</t>
  </si>
  <si>
    <t>بلكونه مفصلى 2 ضلفه شباك بدون بار بسقاس بدون سلك</t>
  </si>
  <si>
    <t>W113KP</t>
  </si>
  <si>
    <t>بلكونه مفصلى 2 ضلفه شباك بار 3,8 بسقاس باندا</t>
  </si>
  <si>
    <t>W114KP</t>
  </si>
  <si>
    <t>بلكونه مفصلى 2 ضلفه شباك بار 6 بسقاس باندا</t>
  </si>
  <si>
    <t>W115KP</t>
  </si>
  <si>
    <t>بلكونه مفصلى 2 ضلفه شباك بدون بار بسقاس باندا</t>
  </si>
  <si>
    <t>W116KP</t>
  </si>
  <si>
    <t>بلكونه مفصلى 2 ضلفه باب بار 3,8 بسقاس بدون سلك</t>
  </si>
  <si>
    <t>W117KP</t>
  </si>
  <si>
    <t>بلكونه مفصلى 2 ضلفه باب بار 6 بسقاس بدون سلك</t>
  </si>
  <si>
    <t>W118KP</t>
  </si>
  <si>
    <t>بلكونه مفصلى 2 ضلفه باب بدون بار بسقاس بدون سلك</t>
  </si>
  <si>
    <t>W119KP</t>
  </si>
  <si>
    <t>بلكونه مفصلى 2 ضلفه باب بار 3,8 بسقاس باندا</t>
  </si>
  <si>
    <t>W120KP</t>
  </si>
  <si>
    <t>بلكونه مفصلى 2 ضلفه باب بار 6 بسقاس باندا</t>
  </si>
  <si>
    <t>W121KP</t>
  </si>
  <si>
    <t>بلكونه مفصلى 2 ضلفه باب بدون بار بسقاس باندا</t>
  </si>
  <si>
    <t>W122KP</t>
  </si>
  <si>
    <t>بلكونه مفصلى قلاب 2 ضلفه باب بار 3,8 بسقاس بدون سلك</t>
  </si>
  <si>
    <t>W123KP</t>
  </si>
  <si>
    <t>بلكونه مفصلى قلاب 2 ضلفه باب بار 6 بسقاس بدون سلك</t>
  </si>
  <si>
    <t>W1240KP</t>
  </si>
  <si>
    <t>بلكونه مفصلى قلاب 2 ضلفه باب بدون بار بسقاس بدون سلك</t>
  </si>
  <si>
    <t>W125KP</t>
  </si>
  <si>
    <t>شباك مفصلى قلاب 1 ضلفه شباك بار 3,8</t>
  </si>
  <si>
    <t>W126KP</t>
  </si>
  <si>
    <t>شباك مفصلى قلاب 1 ضلفه شباك بار 6</t>
  </si>
  <si>
    <t>W127KP</t>
  </si>
  <si>
    <t>شباك مفصلى قلاب 1 ضلفه شباك بار بدون بار</t>
  </si>
  <si>
    <t>W128KP</t>
  </si>
  <si>
    <t>شباك مفصلى قلاب 1 ضلفه شباك بار 3,8 + ثابت</t>
  </si>
  <si>
    <t>W1290KP</t>
  </si>
  <si>
    <t>شباك مفصلى قلاب 1 ضلفه شباك بار 6 + ثابت</t>
  </si>
  <si>
    <t>W130KP</t>
  </si>
  <si>
    <t>شباك مفصلى قلاب 1 ضلفه شباك بدون بار + ثابت</t>
  </si>
  <si>
    <t>W131KP</t>
  </si>
  <si>
    <t>شباك مفصلى قلاب 2 ضلفه شباك بار 3,8</t>
  </si>
  <si>
    <t>W132KP</t>
  </si>
  <si>
    <t>شباك مفصلى قلاب 2 ضلفه شباك بار 6</t>
  </si>
  <si>
    <t>W133KP</t>
  </si>
  <si>
    <t>شباك مفصلى قلاب 2 ضلفه شباك بدون بار</t>
  </si>
  <si>
    <t>W134KP</t>
  </si>
  <si>
    <t>شباك مفصلى قلاب 2 ضلفه شباك بار 3,8 + ثابت</t>
  </si>
  <si>
    <t>W135KP</t>
  </si>
  <si>
    <t>شباك مفصلى قلاب 2 ضلفه شباك بار 6 + ثابت</t>
  </si>
  <si>
    <t>W136KP</t>
  </si>
  <si>
    <t>شباك مفصلى قلاب 2 ضلفه شباك بدون بار + ثابت</t>
  </si>
  <si>
    <t>W137KP</t>
  </si>
  <si>
    <t>باب مفصلى 1 ضلفه  شباك بار مقلوب بدون عتب بانل</t>
  </si>
  <si>
    <t>W138KP</t>
  </si>
  <si>
    <t>باب مفصلى 1 ضلفه باب بار مقلوب بدون عتب بانل</t>
  </si>
  <si>
    <t>W139KP</t>
  </si>
  <si>
    <t>باب مفصلى 1 ضلفه شباك بار مقلوب بدون عتب دوران</t>
  </si>
  <si>
    <t>W140KP</t>
  </si>
  <si>
    <t>باب مفصلى 1 ضلفه باب بار مقلوب بدون عتب دوران</t>
  </si>
  <si>
    <t>W141KP</t>
  </si>
  <si>
    <t>باب مفصلى 1 ضلفه شباك بار مقلوب بدون عتب حشوه</t>
  </si>
  <si>
    <t>W142KP</t>
  </si>
  <si>
    <t>باب مفصلى 1 ضلفه باب بار مقلوب بدون عتب حشوه</t>
  </si>
  <si>
    <t>W143KP</t>
  </si>
  <si>
    <t>باب مفصلى 1 ضلفه شباك بار مقلوب بدون عتب بسلندر بانل / زجاج</t>
  </si>
  <si>
    <t>W144KP</t>
  </si>
  <si>
    <t>باب مفصلى 1 ضلفه شباك بار عدل بدون عتب بسلندر بانل / زجاج</t>
  </si>
  <si>
    <t>W145KP</t>
  </si>
  <si>
    <t>باب مفصلى 1 ضلفه شباك بار مقلوب بعتب بسلندر بانل / زجاج</t>
  </si>
  <si>
    <t>W146KP</t>
  </si>
  <si>
    <t>باب مفصلى 1 ضلفه شباك بار عدل بعتب بسلندر بانل / زجاج</t>
  </si>
  <si>
    <t>W147KP</t>
  </si>
  <si>
    <t>شباك كرافت لاين جرار ببار</t>
  </si>
  <si>
    <t>كرافت لاين  UPVC</t>
  </si>
  <si>
    <t>W01KL</t>
  </si>
  <si>
    <t>شباك كرافت لاين جرار بدون بار</t>
  </si>
  <si>
    <t>W02KL</t>
  </si>
  <si>
    <t>شباك كرافت لاين جرار بدون بار  3 ضلفة زجاج بدون سلك</t>
  </si>
  <si>
    <t>W03KL</t>
  </si>
  <si>
    <t>شباك كرافت لاين جرار ببار  كلبس 3 ضلفة زجاج بدون سلك</t>
  </si>
  <si>
    <t>W04KL</t>
  </si>
  <si>
    <t>شباك كرافت لاين جرار بدون بار  3 ضلفة زجاج + سلك لطش</t>
  </si>
  <si>
    <t>W05KL</t>
  </si>
  <si>
    <t>شباك كرافت لاين جرار ببار  كلبس 3 ضلفة زجاج + سلك لطش</t>
  </si>
  <si>
    <t>W06KL</t>
  </si>
  <si>
    <t>شباك كرافت لاين جرار ببار 4 ضلفه</t>
  </si>
  <si>
    <t>W07KL</t>
  </si>
  <si>
    <t>شباك كرافت لاين جرار بدون بار 4 ضلفه</t>
  </si>
  <si>
    <t>W08KL</t>
  </si>
  <si>
    <t>بلكونة كرافت لاين جرار 2 ضلفه ببار + سقاس</t>
  </si>
  <si>
    <t>W09KL</t>
  </si>
  <si>
    <t>بلكونة كرافت لاين جرار 2 ضلفه بدون بار + سقاس</t>
  </si>
  <si>
    <t>W10KL</t>
  </si>
  <si>
    <t>بلكونة كرافت لاين جرار 3 ضلفه بدون بار بدون سلك + سقاس</t>
  </si>
  <si>
    <t>W11KL</t>
  </si>
  <si>
    <t>بلكونة كرافت لاين جرار 3 ضلفه بار كلبس بدون سلك + سقاس</t>
  </si>
  <si>
    <t>W12KL</t>
  </si>
  <si>
    <t>بلكونة كرافت لاين جرار 3 ضلفه بدون بار سلك لطش + سقاس</t>
  </si>
  <si>
    <t>W13KL</t>
  </si>
  <si>
    <t>بلكونة كرافت لاين جرار 3 ضلفه بار كلبس سلك لطش + سقاس</t>
  </si>
  <si>
    <t>W14KL</t>
  </si>
  <si>
    <t>بلكونة كرافت لاين جرار 4 ضلفه ببار + سقاس</t>
  </si>
  <si>
    <t>W15KL</t>
  </si>
  <si>
    <t>بلكونة كرافت لاين جرار 4 ضلفه بدون بار + سقاس</t>
  </si>
  <si>
    <t>W16KL</t>
  </si>
  <si>
    <t>شباك كرافت لاين مفصلي 1 ضلفه شباك ببار سلك ثابت</t>
  </si>
  <si>
    <t>W17KL</t>
  </si>
  <si>
    <t>شباك كرافت لاين مفصلي 1 ضلفه شباك بدون بار سلك ثابت</t>
  </si>
  <si>
    <t>W18KL</t>
  </si>
  <si>
    <t>شباك كرافت لاين مفصلي 1 ضلفه شباك ببار ضلفة سلك ثابته</t>
  </si>
  <si>
    <t>W19KL</t>
  </si>
  <si>
    <t>شباك كرافت لاين مفصلي 1 ضلفه شباك بدون بار ضلفة سلك ثابته</t>
  </si>
  <si>
    <t>W20KL</t>
  </si>
  <si>
    <t>شباك كرافت لاين مفصلي 1 ضلفه شباك ببار سلك باندا</t>
  </si>
  <si>
    <t>W21KL</t>
  </si>
  <si>
    <t>شباك كرافت لاين مفصلي 1 ضلفه شباك بدون بار سلك باندا</t>
  </si>
  <si>
    <t>W22KL</t>
  </si>
  <si>
    <t>شباك كرافت لاين مفصلي 1 ضلفه باب ببار سلك ثابت</t>
  </si>
  <si>
    <t>W23KL</t>
  </si>
  <si>
    <t>شباك كرافت لاين مفصلي 1 ضلفه باب بدون بار سلك ثابت</t>
  </si>
  <si>
    <t>W24KL</t>
  </si>
  <si>
    <t>شباك كرافت لاين مفصلي 1 ضلفه باب ببار ضلفة سلك ثابته</t>
  </si>
  <si>
    <t>W25KL</t>
  </si>
  <si>
    <t>شباك كرافت لاين مفصلي 1 ضلفه باب بدون بار ضلفة سلك ثابته</t>
  </si>
  <si>
    <t>W26KL</t>
  </si>
  <si>
    <t>شباك كرافت لاين مفصلي 1 ضلفه باب ببار سلك باندا</t>
  </si>
  <si>
    <t>W27KL</t>
  </si>
  <si>
    <t>شباك كرافت لاين مفصلي 1 ضلفه باب بدون بار سلك باندا</t>
  </si>
  <si>
    <t>W28KL</t>
  </si>
  <si>
    <t>شباك كرافت لاين مفصلي 2 ضلفه شباك ببار بدون سلك</t>
  </si>
  <si>
    <t>W29KL</t>
  </si>
  <si>
    <t>شباك كرافت لاين مفصلي 2 ضلفه شباك بدون بار بدون سلك</t>
  </si>
  <si>
    <t>W30KL</t>
  </si>
  <si>
    <t>شباك كرافت لاين مفصلي 2 ضلفه شباك ببار ضلفة سلك ثابته</t>
  </si>
  <si>
    <t>W31KL</t>
  </si>
  <si>
    <t>شباك كرافت لاين مفصلي 2 ضلفه شباك بدون بار بدون ضلفة سلك ثابته</t>
  </si>
  <si>
    <t>W32KL</t>
  </si>
  <si>
    <t>شباك كرافت لاين مفصلي 2 ضلفه شباك ببار سلك باندا</t>
  </si>
  <si>
    <t>W33KL</t>
  </si>
  <si>
    <t>شباك كرافت لاين مفصلي 2 ضلفه شباك بدون بار سلك باندا</t>
  </si>
  <si>
    <t>W34KL</t>
  </si>
  <si>
    <t>شباك كرافت لاين مفصلي 2 ضلفه باب ببار بدون سلك</t>
  </si>
  <si>
    <t>W35KL</t>
  </si>
  <si>
    <t>شباك كرافت لاين مفصلي 2 ضلفه باب بدون بار بدون سلك</t>
  </si>
  <si>
    <t>W36KL</t>
  </si>
  <si>
    <t>شباك كرافت لاين مفصلي 2 ضلفه باب ببار ضلفة سلك ثابته</t>
  </si>
  <si>
    <t>W37KL</t>
  </si>
  <si>
    <t>شباك كرافت لاين مفصلي 2 ضلفه باب بدون بار بدون ضلفة سلك ثابته</t>
  </si>
  <si>
    <t>W38KL</t>
  </si>
  <si>
    <t>شباك كرافت لاين مفصلي 2 ضلفه باب ببار سلك باندا</t>
  </si>
  <si>
    <t>W39KL</t>
  </si>
  <si>
    <t>شباك كرافت لاين مفصلي 2 ضلفه باب بدون بار سلك باندا</t>
  </si>
  <si>
    <t>W40KL</t>
  </si>
  <si>
    <t>شباك قلاب كرافت لاين 1 ضلفه ببار</t>
  </si>
  <si>
    <t>W41KL</t>
  </si>
  <si>
    <t>شباك قلاب كرافت لاين 1 ضلفه بدون بار</t>
  </si>
  <si>
    <t>W42KL</t>
  </si>
  <si>
    <t>شباك قلاب كرافت لاين 2 ضلفه ببار</t>
  </si>
  <si>
    <t>W43KL</t>
  </si>
  <si>
    <t>شباك قلاب كرافت لاين 2 ضلفه بدون بار</t>
  </si>
  <si>
    <t>W44KL</t>
  </si>
  <si>
    <t>شباك قلاب كرافت لاين 1 ضلفه ببار + قطعة ثابت</t>
  </si>
  <si>
    <t>W45KL</t>
  </si>
  <si>
    <t>شباك قلاب كرافت لاين 1 ضلفه بدون بار + قطعة ثابت</t>
  </si>
  <si>
    <t>W46KL</t>
  </si>
  <si>
    <t>شباك قلاب كرافت لاين 1 ضلفه ببار + قطعتين ثابت</t>
  </si>
  <si>
    <t>W47KL</t>
  </si>
  <si>
    <t>شباك قلاب كرافت لاين 1 ضلفه بدون بار + قطعتين ثابت</t>
  </si>
  <si>
    <t>W48KL</t>
  </si>
  <si>
    <t>شباك قلاب كرافت لاين 1 ضلفه ببار + 3 قطع ثابت</t>
  </si>
  <si>
    <t>W49KL</t>
  </si>
  <si>
    <t>شباك قلاب كرافت لاين 1 ضلفه بدون بار + 3 قطع ثابت</t>
  </si>
  <si>
    <t>W50KL</t>
  </si>
  <si>
    <t>ثابت مفصلى كرافت لاين ببار</t>
  </si>
  <si>
    <t>W51KL</t>
  </si>
  <si>
    <t>ثابت مفصلى كرافت لاين بدون بار</t>
  </si>
  <si>
    <t>W52KL</t>
  </si>
  <si>
    <t>بلكونه مفصلى كرافت لاين 1 ضلفه شباك ببار بسقاس بدون سلك</t>
  </si>
  <si>
    <t>W53KL</t>
  </si>
  <si>
    <t>بلكونه مفصلى كرافت لاين 1 ضلفه شباك بدون بار بسقاس بدون سلك</t>
  </si>
  <si>
    <t>W54KL</t>
  </si>
  <si>
    <t>بلكونه مفصلى كرافت لاين 1 ضلفه شباك ببار بسقاس باندا</t>
  </si>
  <si>
    <t>W55KL</t>
  </si>
  <si>
    <t>بلكونه مفصلى كرافت لاين 1 ضلفه شباك بدون بار بسقاس باندا</t>
  </si>
  <si>
    <t>W56KL</t>
  </si>
  <si>
    <t>بلكونه مفصلى كرافت لاين 1 ضلفه باب ببار بسقاس بدون سلك</t>
  </si>
  <si>
    <t>W57KL</t>
  </si>
  <si>
    <t>بلكونه مفصلى كرافت لاين 1 ضلفه باب بدون بار بسقاس بدون سلك</t>
  </si>
  <si>
    <t>W58KL</t>
  </si>
  <si>
    <t>بلكونه مفصلى كرافت لاين 1 ضلفه باب ببار بسقاس باندا</t>
  </si>
  <si>
    <t>W59KL</t>
  </si>
  <si>
    <t>بلكونه مفصلى كرافت لاين 1 ضلفه باب بدون بار بسقاس باندا</t>
  </si>
  <si>
    <t>W60KL</t>
  </si>
  <si>
    <t>بلكونه مفصلى كرافت لاين 2 ضلفه شباك ببار بسقاس بدون سلك</t>
  </si>
  <si>
    <t>W61KL</t>
  </si>
  <si>
    <t>بلكونه مفصلى كرافت لاين 2 ضلفه شباك بدون بار بسقاس بدون سلك</t>
  </si>
  <si>
    <t>W62KL</t>
  </si>
  <si>
    <t>بلكونه مفصلى كرافت لاين 2 ضلفه شباك ببار بسقاس باندا</t>
  </si>
  <si>
    <t>W63KL</t>
  </si>
  <si>
    <t>بلكونه مفصلى كرافت لاين 2 ضلفه شباك بدون بار بسقاس باندا</t>
  </si>
  <si>
    <t>W64KL</t>
  </si>
  <si>
    <t>بلكونه مفصلى كرافت لاين 2 ضلفه باب ببار بسقاس بدون سلك</t>
  </si>
  <si>
    <t>W65KL</t>
  </si>
  <si>
    <t>بلكونه مفصلى كرافت لاين 2 ضلفه باب بدون بار بسقاس بدون سلك</t>
  </si>
  <si>
    <t>W66KL</t>
  </si>
  <si>
    <t>بلكونه مفصلى كرافت لاين 2 ضلفه باب ببار بسقاس باندا</t>
  </si>
  <si>
    <t>W67KL</t>
  </si>
  <si>
    <t>بلكونه مفصلى كرافت لاين 2 ضلفه باب بدون بار بسقاس باندا</t>
  </si>
  <si>
    <t>W68KL</t>
  </si>
  <si>
    <t>بلكونه مفصلى قلاب  كرافت لاين 2 ضلفه باب ببار بسقاس بدون سلك</t>
  </si>
  <si>
    <t>W69KL</t>
  </si>
  <si>
    <t>بلكونه مفصلى قلاب كرافت لاين 2 ضلفه باب بدون بار بسقاس بدون سلك</t>
  </si>
  <si>
    <t>W70KL</t>
  </si>
  <si>
    <t>شباك مفصلى قلاب كرافت لاين 1 ضلفه شباك ببار</t>
  </si>
  <si>
    <t>W71KL</t>
  </si>
  <si>
    <t>شباك مفصلى قلاب كرافت لاين 1 ضلفه شباك بار بدون بار</t>
  </si>
  <si>
    <t>W72KL</t>
  </si>
  <si>
    <t>شباك مفصلى قلاب كرافت لاين 1 ضلفه شباك ببار + ثابت</t>
  </si>
  <si>
    <t>W73KL</t>
  </si>
  <si>
    <t>شباك مفصلى قلاب كرافت لاين 1 ضلفه شباك بدون بار + ثابت</t>
  </si>
  <si>
    <t>W74KL</t>
  </si>
  <si>
    <t>شباك مفصلى قلاب كرافت لاين 2 ضلفه شباك ببار</t>
  </si>
  <si>
    <t>W75KL</t>
  </si>
  <si>
    <t>شباك مفصلى قلاب كرافت لاين 2 ضلفه شباك بدون بار</t>
  </si>
  <si>
    <t>W76KL</t>
  </si>
  <si>
    <t>شباك مفصلى قلاب كرافت لاين 2 ضلفه شباك ببار + ثابت</t>
  </si>
  <si>
    <t>W77KL</t>
  </si>
  <si>
    <t>شباك مفصلى قلاب كرافت لاين 2 ضلفه شباك بدون بار + ثابت</t>
  </si>
  <si>
    <t>W78KL</t>
  </si>
  <si>
    <t>باب مفصلى 1 ضلفه شباك بار مقلوب بدون عتب بانل</t>
  </si>
  <si>
    <t>W79KL</t>
  </si>
  <si>
    <t>W80KL</t>
  </si>
  <si>
    <t>W81KL</t>
  </si>
  <si>
    <t>W82KL</t>
  </si>
  <si>
    <t>W83KL</t>
  </si>
  <si>
    <t>W84KL</t>
  </si>
  <si>
    <t>W85KL</t>
  </si>
  <si>
    <t>W86KL</t>
  </si>
  <si>
    <t>W87KL</t>
  </si>
  <si>
    <t>W88KL</t>
  </si>
  <si>
    <t>شباك نيو لاين جرار ببار 5 سم</t>
  </si>
  <si>
    <t xml:space="preserve"> نيو لاين  UPVC</t>
  </si>
  <si>
    <t>W01NL</t>
  </si>
  <si>
    <t>شباك نيو لاين جرار 4 ضلفه ببار 5 سم</t>
  </si>
  <si>
    <t>W02NL</t>
  </si>
  <si>
    <t>شباك نيو لاين مفصلي 1 ضلفه شباك ببار سلك ثابت</t>
  </si>
  <si>
    <t>W03NL</t>
  </si>
  <si>
    <t>شباك نيو لاين مفصلي 1 ضلفه شباك ببار ضلفة سلك ثابته</t>
  </si>
  <si>
    <t>W04NL</t>
  </si>
  <si>
    <t>شباك نيو لاين مفصلي 1 ضلفه باب ببار سلك ثابت</t>
  </si>
  <si>
    <t>W05NL</t>
  </si>
  <si>
    <t>شباك نيو لاين مفصلي 1 ضلفه باب ببار ضلفة سلك ثابته</t>
  </si>
  <si>
    <t>W06NL</t>
  </si>
  <si>
    <t>شباك نيو لاين مفصلي 2 ضلفه شباك ببار بدون سلك</t>
  </si>
  <si>
    <t>W07NL</t>
  </si>
  <si>
    <t>شباك نيو لاين مفصلي 2 ضلفه شباك ببار ضلفة سلك ثابته</t>
  </si>
  <si>
    <t>W08NL</t>
  </si>
  <si>
    <t>شباك نيو لاين مفصلي 2 ضلفه باب ببار بدون سلك</t>
  </si>
  <si>
    <t>W09NL</t>
  </si>
  <si>
    <t>شباك نيو لاين مفصلي 2 ضلفه باب ببار ضلفة سلك ثابته</t>
  </si>
  <si>
    <t>W10NL</t>
  </si>
  <si>
    <t>شباك قلاب نيو لاين 1 ضلفه ببار</t>
  </si>
  <si>
    <t>W11NL</t>
  </si>
  <si>
    <t>شباك قلاب نيو لاين 2 ضلفه ببار</t>
  </si>
  <si>
    <t>W12NL</t>
  </si>
  <si>
    <t>شباك قلاب نيو لاين 1 ضلفه ببار + قطعة ثابت</t>
  </si>
  <si>
    <t>W13NL</t>
  </si>
  <si>
    <t>شباك قلاب نيو لاين 1 ضلفه ببار + قطعتين ثابت</t>
  </si>
  <si>
    <t>W14NL</t>
  </si>
  <si>
    <t>شباك قلاب نيو لاين 1 ضلفه ببار + 3 قطع ثابت</t>
  </si>
  <si>
    <t>W15NL</t>
  </si>
  <si>
    <t>ثابت مفصلى نيو لاين ببار</t>
  </si>
  <si>
    <t>W16NL</t>
  </si>
  <si>
    <t>بلكونه مفصلى نيو لاين 1 ضلفه شباك ببار بسقاس بدون سلك</t>
  </si>
  <si>
    <t>W17NL</t>
  </si>
  <si>
    <t>بلكونه مفصلى نيو لاين 1 ضلفه باب ببار بسقاس بدون سلك</t>
  </si>
  <si>
    <t>W18NL</t>
  </si>
  <si>
    <t>بلكونه مفصلى نيو لاين 2 ضلفه شباك ببار بسقاس بدون سلك</t>
  </si>
  <si>
    <t>W19NL</t>
  </si>
  <si>
    <t>بلكونه مفصلى نيو لاين 2 ضلفه باب ببار بسقاس بدون سلك</t>
  </si>
  <si>
    <t>W20NL</t>
  </si>
  <si>
    <t>بلكونه مفصلى قلاب  نيو لاين 2 ضلفه باب ببار بسقاس بدون سلك</t>
  </si>
  <si>
    <t>W21NL</t>
  </si>
  <si>
    <t>شباك مفصلى قلاب نيو لاين 1 ضلفه شباك ببار</t>
  </si>
  <si>
    <t>W22NL</t>
  </si>
  <si>
    <t>شباك مفصلى قلاب نيو لاين 1 ضلفه شباك ببار + ثابت</t>
  </si>
  <si>
    <t>W23NL</t>
  </si>
  <si>
    <t>شباك مفصلى قلاب نيو لاين 2 ضلفه شباك ببار</t>
  </si>
  <si>
    <t>W24NL</t>
  </si>
  <si>
    <t>شباك مفصلى قلاب نيو لاين 2 ضلفه شباك ببار + ثابت</t>
  </si>
  <si>
    <t>W25NL</t>
  </si>
  <si>
    <t>باب مفصلى 1 ضلفه بار مقلوب بدون عتب بانل</t>
  </si>
  <si>
    <t>W26NL</t>
  </si>
  <si>
    <t>باب مفصلى 1 ضلفه بار مقلوب بدون عتب دوران</t>
  </si>
  <si>
    <t>W27NL</t>
  </si>
  <si>
    <t>باب مفصلى 1 ضلفه بار مقلوب بدون عتب حشوه</t>
  </si>
  <si>
    <t>W28NL</t>
  </si>
  <si>
    <t>W29NL</t>
  </si>
  <si>
    <t>W30NL</t>
  </si>
  <si>
    <t>W31NL</t>
  </si>
  <si>
    <t>W32NL</t>
  </si>
  <si>
    <t>شاتر ايطالى 5 سم بموتور + مفتاح</t>
  </si>
  <si>
    <t>Shutter</t>
  </si>
  <si>
    <t>SH01IT</t>
  </si>
  <si>
    <t>شاتر ايطالى 5 سم بموتور + ريموت و رسيفر</t>
  </si>
  <si>
    <t>SH02IT</t>
  </si>
  <si>
    <t>شاتر ايطالى 5 سم بموتور + شريط يدوى</t>
  </si>
  <si>
    <t>SH03IT</t>
  </si>
  <si>
    <t>شاتر ايطالى 5.5 سم بموتور + مفتاح</t>
  </si>
  <si>
    <t>SH04IT</t>
  </si>
  <si>
    <t>شاتر ايطالى 5.5 سم بموتور + ريموت و رسيفر</t>
  </si>
  <si>
    <t>SH05IT</t>
  </si>
  <si>
    <t>شاتر ايطالى 5.5 سم بموتور + شريط يدوى</t>
  </si>
  <si>
    <t>SH06IT</t>
  </si>
  <si>
    <t>شاتر اسبانى 5 سم بموتور + مفتاح</t>
  </si>
  <si>
    <t>SH01ES</t>
  </si>
  <si>
    <t>شاتر اسبانى 5 سم بموتور + ريموت و رسيفر</t>
  </si>
  <si>
    <t>SH02ES</t>
  </si>
  <si>
    <t>شاتر اسبانى 5 سم بموتور + شريط يدوى</t>
  </si>
  <si>
    <t>SH03ES</t>
  </si>
  <si>
    <t>شاتر اسبانى 5.5 سم بموتور + مفتاح</t>
  </si>
  <si>
    <t>SH04ES</t>
  </si>
  <si>
    <t>شاتر اسبانى 5.5 سم بموتور + ريموت و رسيفر</t>
  </si>
  <si>
    <t>SH05ES</t>
  </si>
  <si>
    <t>شاتر اسبانى 5.5 سم بموتور + شريط يدوى</t>
  </si>
  <si>
    <t>SH06ES</t>
  </si>
  <si>
    <t>شاتر زنكنيوم ايطالى 5.5 سم بموتور + مفتاح</t>
  </si>
  <si>
    <t>SH01ZIT</t>
  </si>
  <si>
    <t>شاتر زنكنيوم ايطالى 5.5 سم بموتور + ريموت و رسيفر</t>
  </si>
  <si>
    <t>SH02ZIT</t>
  </si>
  <si>
    <t>شاتر زنكنيوم ايطالى 5.5 سم بموتور + شريط يدوى</t>
  </si>
  <si>
    <t>SH03ZIT</t>
  </si>
  <si>
    <t>المرحلة</t>
  </si>
  <si>
    <t>التفاصيل العملية</t>
  </si>
  <si>
    <t xml:space="preserve">تكلفة كل مرحلة </t>
  </si>
  <si>
    <t>التسويق والإعلانات (Marketing)</t>
  </si>
  <si>
    <t>حملات إعلانية (أونلاين/أوفلاين)، إدارة صفحات السوشيال، إعلانات ممولة، معارض، توصيات.</t>
  </si>
  <si>
    <t>تسجيل العميل (CRM)</t>
  </si>
  <si>
    <t>إدخال بيانات العميل المتوقع (اسم، هاتف، عنوان) في النظام.</t>
  </si>
  <si>
    <t>رفع المقاسات</t>
  </si>
  <si>
    <t>معاينة ميدانية للفتحات، قياس العرض والارتفاع بدقة، تسجيل المقاسات في النظام.</t>
  </si>
  <si>
    <t>عرض السعر (Quotation)</t>
  </si>
  <si>
    <t>تحديد المنتجات والمقاسات، حساب الأسعار (مواد + تصنيع + تركيب)، إرسال العرض للعميل.</t>
  </si>
  <si>
    <t>أمر البيع (Sales Order)</t>
  </si>
  <si>
    <t>تحويل العرض إلى عقد رسمي بعد موافقة العميل، يمثل الاتفاق النهائي.</t>
  </si>
  <si>
    <t>أمر التصنيع (Manufacturing Order)</t>
  </si>
  <si>
    <t>تحديد المواد الخام المطلوبة (BOM)، نسب الهالك، مراحل التصنيع، زمن وتكلفة كل مرحلة.</t>
  </si>
  <si>
    <t>الإنتاج (Production)</t>
  </si>
  <si>
    <t>تنفيذ مراحل التصنيع (تقطيع، تجميع، تركيب زجاج، تشطيب)، متابعة الجودة والفحص.</t>
  </si>
  <si>
    <t>حركة المخازن (Inventory)</t>
  </si>
  <si>
    <t>سحب خامات من المخزن، تحويلها للمصنع، إدخال المنتج النهائي للمخزن الجاهز.</t>
  </si>
  <si>
    <t>التركيب والتسليم (Installation)</t>
  </si>
  <si>
    <t>نقل المنتج لموقع العميل، تركيب الشاتر/UPVC، توقيع العميل على الاستلام.</t>
  </si>
  <si>
    <t>الفاتورة والتحصيل (Billing)</t>
  </si>
  <si>
    <t>إصدار الفاتورة النهائية، تسجيل المدفوعات (نقدي، تحويل، شيك)، ربطها بالحسابات.</t>
  </si>
  <si>
    <t>حلق مفصلي بدون بار - أبيض</t>
  </si>
  <si>
    <t>KL610-WBW</t>
  </si>
  <si>
    <t>حلق مفصلي بدون بار - بيج</t>
  </si>
  <si>
    <t>KL610-WBB</t>
  </si>
  <si>
    <t>حلق مفصلي ببار 5 سم - أبيض</t>
  </si>
  <si>
    <t>KL611-WBW</t>
  </si>
  <si>
    <t>حلق مفصلي ببار 5 سم - بيج</t>
  </si>
  <si>
    <t>KL611-WBB</t>
  </si>
  <si>
    <t>حلق مفصلي ببار مقلوب 5 سم - أبيض</t>
  </si>
  <si>
    <t>K1612-WBW</t>
  </si>
  <si>
    <t>حلق مفصلي ببار مقلوب 5 سم - بيج</t>
  </si>
  <si>
    <t>K1612-WBB</t>
  </si>
  <si>
    <t>ضلفة شباك مفصلي - أبيض</t>
  </si>
  <si>
    <t>K1613-WBW</t>
  </si>
  <si>
    <t>ضلفة شباك مفصلي - بيج</t>
  </si>
  <si>
    <t>K1613-WBB</t>
  </si>
  <si>
    <t>ضلفة باب مفصلي فتح للداخل - أبيض</t>
  </si>
  <si>
    <t>K1615-WBW</t>
  </si>
  <si>
    <t>ضلفة باب مفصلي فتح للداخل - بيج</t>
  </si>
  <si>
    <t>K1615-WBB</t>
  </si>
  <si>
    <t>ضلفة باب مفصلي فتح للخارج - أبيض</t>
  </si>
  <si>
    <t>KL616-WBW</t>
  </si>
  <si>
    <t>ضلفة باب مفصلي فتح للخارج - بيج</t>
  </si>
  <si>
    <t>KL616-WBB</t>
  </si>
  <si>
    <t>سقاس مفصلي - أبيض</t>
  </si>
  <si>
    <t>KI614-WBW</t>
  </si>
  <si>
    <t>سقاس مفصلي - بيج</t>
  </si>
  <si>
    <t>KI614-WBB</t>
  </si>
  <si>
    <t>بوكلير مفصلي - أبيض</t>
  </si>
  <si>
    <t>K1617-WBW</t>
  </si>
  <si>
    <t>بوكلير مفصلي - بيج</t>
  </si>
  <si>
    <t>K1617-WBB</t>
  </si>
  <si>
    <t>باكتة سنجل مفصلي - أبيض</t>
  </si>
  <si>
    <t>KI618-WBW</t>
  </si>
  <si>
    <t>باكتة سنجل مفصلي - بيج</t>
  </si>
  <si>
    <t>KI618-WBB</t>
  </si>
  <si>
    <t>باكتة دبل مفصلي - أبيض</t>
  </si>
  <si>
    <t>KI619-WBW</t>
  </si>
  <si>
    <t>باكتة دبل مفصلي - بيج</t>
  </si>
  <si>
    <t>KI619-WBB</t>
  </si>
  <si>
    <t>بانل 15 سم - أبيض</t>
  </si>
  <si>
    <t>KL310-WBW</t>
  </si>
  <si>
    <t>بانل 15 سم - بيج</t>
  </si>
  <si>
    <t>KL310-WBB</t>
  </si>
  <si>
    <t>حلق 2 مجرى ببار 5 سم - أبيض</t>
  </si>
  <si>
    <t>KI-S731-WBW</t>
  </si>
  <si>
    <t>حلق 2 مجرى ببار 5 سم - بيج</t>
  </si>
  <si>
    <t>KI-S731-WBB</t>
  </si>
  <si>
    <t>حلق 3 مجرى بدون بار - أبيض</t>
  </si>
  <si>
    <t>kl-S732-WBW</t>
  </si>
  <si>
    <t>حلق 3 مجرى بدون بار - بيج</t>
  </si>
  <si>
    <t>kl-S732-WBB</t>
  </si>
  <si>
    <t>حلق 3 مجرى ببار 5 سم - أبيض</t>
  </si>
  <si>
    <t>KI-S733-WBW</t>
  </si>
  <si>
    <t>حلق 3 مجرى ببار 5 سم - بيج</t>
  </si>
  <si>
    <t>KI-S733-WBB</t>
  </si>
  <si>
    <t>ضلفة جرار كبيرة - أبيض</t>
  </si>
  <si>
    <t>KI-S735-WBW</t>
  </si>
  <si>
    <t>ضلفة جرار كبيرة - بيج</t>
  </si>
  <si>
    <t>KI-S735-WBB</t>
  </si>
  <si>
    <t>باكتة سنجل جرار - أبيض</t>
  </si>
  <si>
    <t>KL-S738-WBW</t>
  </si>
  <si>
    <t>باكتة سنجل جرار - بيج</t>
  </si>
  <si>
    <t>KL-S738-WBB</t>
  </si>
  <si>
    <t>باكتة دبل جرار - أبيض</t>
  </si>
  <si>
    <t>KL-S737-WBW</t>
  </si>
  <si>
    <t>باكتة دبل جرار - بيج</t>
  </si>
  <si>
    <t>KL-S737-WBB</t>
  </si>
  <si>
    <t>طبة + سكينة - أبيض</t>
  </si>
  <si>
    <t>KL-S336-WBW</t>
  </si>
  <si>
    <t>طبة + سكينة - بيج</t>
  </si>
  <si>
    <t>KL-S336-WBB</t>
  </si>
  <si>
    <t>ضلفة سلك كبيرة - أبيض</t>
  </si>
  <si>
    <t>KL-S739-WBW</t>
  </si>
  <si>
    <t>ضلفة سلك كبيرة - بيج</t>
  </si>
  <si>
    <t>KL-S739-WBB</t>
  </si>
  <si>
    <t>سقاس جرار - أبيض</t>
  </si>
  <si>
    <t>KL-S514-WBW</t>
  </si>
  <si>
    <t>سقاس جرار - بيج</t>
  </si>
  <si>
    <t>KL-S514-WBB</t>
  </si>
  <si>
    <t>حلق جرار 3 ضلفة زجاج - أبيض</t>
  </si>
  <si>
    <t>KL-S734-WBW</t>
  </si>
  <si>
    <t>حلق جرار 3 ضلفة زجاج - بيج</t>
  </si>
  <si>
    <t>KL-S734-WBB</t>
  </si>
  <si>
    <t>سواس ضلفة سلك - أبيض</t>
  </si>
  <si>
    <t>KL-S741-WBW</t>
  </si>
  <si>
    <t>سواس ضلفة سلك - بيج</t>
  </si>
  <si>
    <t>KL-S741-WBB</t>
  </si>
  <si>
    <t>KL610-WDX</t>
  </si>
  <si>
    <t>KL611-WDX</t>
  </si>
  <si>
    <t>K1612-WDX</t>
  </si>
  <si>
    <t>K1613-WDX</t>
  </si>
  <si>
    <t>K1615-WDX</t>
  </si>
  <si>
    <t>KI616-WDX</t>
  </si>
  <si>
    <t>K1614-WDX</t>
  </si>
  <si>
    <t>K1617-WDX</t>
  </si>
  <si>
    <t>K1618-WDX</t>
  </si>
  <si>
    <t>K1619-WDX</t>
  </si>
  <si>
    <t>KL310-WDX</t>
  </si>
  <si>
    <t>KI-S731-WDX</t>
  </si>
  <si>
    <t>kl-S732-WDX</t>
  </si>
  <si>
    <t>KI-S733-WDX</t>
  </si>
  <si>
    <t>KI-S735-WDX</t>
  </si>
  <si>
    <t>KL-S738-WDX</t>
  </si>
  <si>
    <t>KL-S737-WDX</t>
  </si>
  <si>
    <t>KL-S336-WDX</t>
  </si>
  <si>
    <t>KL-S739-WDX</t>
  </si>
  <si>
    <t>KL-S514-WDX</t>
  </si>
  <si>
    <t>KL-S734-WDX</t>
  </si>
  <si>
    <t>41KL-S7-WDX</t>
  </si>
  <si>
    <t>حلق مفصلي بدون بار - جراي</t>
  </si>
  <si>
    <t>KL610-GSG</t>
  </si>
  <si>
    <t>حلق مفصلي بدون بار - أسود</t>
  </si>
  <si>
    <t>KL610-GSK</t>
  </si>
  <si>
    <t>حلق مفصلي ببار 5 سم - جراي</t>
  </si>
  <si>
    <t>KL611-GSG</t>
  </si>
  <si>
    <t>حلق مفصلي ببار 5 سم - أسود</t>
  </si>
  <si>
    <t>KL611-GSK</t>
  </si>
  <si>
    <t>حلق مفصلي ببار مقلوب 5 سم - جراي</t>
  </si>
  <si>
    <t>K1612-GSG</t>
  </si>
  <si>
    <t>حلق مفصلي ببار مقلوب 5 سم - أسود</t>
  </si>
  <si>
    <t>K1612-GSK</t>
  </si>
  <si>
    <t>ضلفة شباك مفصلي - جراي</t>
  </si>
  <si>
    <t>K1613-GSG</t>
  </si>
  <si>
    <t>ضلفة شباك مفصلي - أسود</t>
  </si>
  <si>
    <t>K1613-GSK</t>
  </si>
  <si>
    <t>ضلفة باب مفصلي فتح للداخل - جراي</t>
  </si>
  <si>
    <t>K1615-GSG</t>
  </si>
  <si>
    <t>ضلفة باب مفصلي فتح للداخل - أسود</t>
  </si>
  <si>
    <t>K1615-GSK</t>
  </si>
  <si>
    <t>ضلفة باب مفصلي فتح للخارج - جراي</t>
  </si>
  <si>
    <t>KI616-GSG</t>
  </si>
  <si>
    <t>ضلفة باب مفصلي فتح للخارج - أسود</t>
  </si>
  <si>
    <t>KI616-GSK</t>
  </si>
  <si>
    <t>سقاس مفصلي - جراي</t>
  </si>
  <si>
    <t>K1614-GSG</t>
  </si>
  <si>
    <t>سقاس مفصلي - أسود</t>
  </si>
  <si>
    <t>K1614-GSK</t>
  </si>
  <si>
    <t>بوكلير مفصلي - جراي</t>
  </si>
  <si>
    <t>K1617-GSG</t>
  </si>
  <si>
    <t>بوكلير مفصلي - أسود</t>
  </si>
  <si>
    <t>K1617-GSK</t>
  </si>
  <si>
    <t>باكتة سنجل مفصلي - جراي</t>
  </si>
  <si>
    <t>K1618-GSG</t>
  </si>
  <si>
    <t>باكتة سنجل مفصلي - أسود</t>
  </si>
  <si>
    <t>K1618-GSK</t>
  </si>
  <si>
    <t>باكتة دبل مفصلي - جراي</t>
  </si>
  <si>
    <t>K1619-GSG</t>
  </si>
  <si>
    <t>باكتة دبل مفصلي - أسود</t>
  </si>
  <si>
    <t>K1619-GSK</t>
  </si>
  <si>
    <t>بانل 15 سم - جراي</t>
  </si>
  <si>
    <t>KL310-GSG</t>
  </si>
  <si>
    <t>بانل 15 سم - أسود</t>
  </si>
  <si>
    <t>KL310-GSK</t>
  </si>
  <si>
    <t>حلق 2 مجرى ببار 5 سم - جراي</t>
  </si>
  <si>
    <t>KI-S731-GSG</t>
  </si>
  <si>
    <t>حلق 2 مجرى ببار 5 سم - أسود</t>
  </si>
  <si>
    <t>KI-S731-GSK</t>
  </si>
  <si>
    <t>حلق 3 مجرى بدون بار - جراي</t>
  </si>
  <si>
    <t>kl-S732-GSG</t>
  </si>
  <si>
    <t>حلق 3 مجرى بدون بار - أسود</t>
  </si>
  <si>
    <t>kl-S732-GSK</t>
  </si>
  <si>
    <t>حلق 3 مجرى ببار 5 سم - جراي</t>
  </si>
  <si>
    <t>KI-S733-GSG</t>
  </si>
  <si>
    <t>حلق 3 مجرى ببار 5 سم - أسود</t>
  </si>
  <si>
    <t>KI-S733-GSK</t>
  </si>
  <si>
    <t>ضلفة جرار كبيرة - جراي</t>
  </si>
  <si>
    <t>KI-S735-GSG</t>
  </si>
  <si>
    <t>ضلفة جرار كبيرة - أسود</t>
  </si>
  <si>
    <t>KI-S735-GSK</t>
  </si>
  <si>
    <t>باكتة سنجل جرار - جراي</t>
  </si>
  <si>
    <t>KL-S738-GSG</t>
  </si>
  <si>
    <t>باكتة سنجل جرار - أسود</t>
  </si>
  <si>
    <t>KL-S738-GSK</t>
  </si>
  <si>
    <t>باكتة دبل جرار - جراي</t>
  </si>
  <si>
    <t>KL-S737-GSG</t>
  </si>
  <si>
    <t>باكتة دبل جرار - أسود</t>
  </si>
  <si>
    <t>KL-S737-GSK</t>
  </si>
  <si>
    <t>طبة + سكينة - جراي</t>
  </si>
  <si>
    <t>KL-S336-GSG</t>
  </si>
  <si>
    <t>طبة + سكينة - أسود</t>
  </si>
  <si>
    <t>KL-S336-GSK</t>
  </si>
  <si>
    <t>ضلفة سلك كبيرة - جراي</t>
  </si>
  <si>
    <t>KL-S739-GSG</t>
  </si>
  <si>
    <t>ضلفة سلك كبيرة - أسود</t>
  </si>
  <si>
    <t>KL-S739-GSK</t>
  </si>
  <si>
    <t>سقاس جرار - جراي</t>
  </si>
  <si>
    <t>KL-S514-GSG</t>
  </si>
  <si>
    <t>سقاس جرار - أسود</t>
  </si>
  <si>
    <t>KL-S514-GSK</t>
  </si>
  <si>
    <t>حلق جرار 3 ضلفة زجاج - جراي</t>
  </si>
  <si>
    <t>KL-S734-GSG</t>
  </si>
  <si>
    <t>حلق جرار 3 ضلفة زجاج - أسود</t>
  </si>
  <si>
    <t>KL-S734-GSK</t>
  </si>
  <si>
    <t>سؤاس ضلفة سلك - جراي</t>
  </si>
  <si>
    <t>41KL-S7-GSG</t>
  </si>
  <si>
    <t>سؤاس ضلفة سلك - أسود</t>
  </si>
  <si>
    <t>41KL-S7-GSK</t>
  </si>
  <si>
    <t>ماسورة CRP - أبيض</t>
  </si>
  <si>
    <t>K1314-WBW</t>
  </si>
  <si>
    <t>ماسورة CRP - بيج</t>
  </si>
  <si>
    <t>K1314-WBB</t>
  </si>
  <si>
    <t>K1314-WDX</t>
  </si>
  <si>
    <t>ماسورة CRP - جراي</t>
  </si>
  <si>
    <t>K1314-GSG</t>
  </si>
  <si>
    <t>ماسورة CRP - أسود</t>
  </si>
  <si>
    <t>K1314-GSK</t>
  </si>
  <si>
    <t>كورنر CRP - أبيض</t>
  </si>
  <si>
    <t>K1315-WBW</t>
  </si>
  <si>
    <t>كورنر CRP - بيج</t>
  </si>
  <si>
    <t>K1315-WBB</t>
  </si>
  <si>
    <t>K1315-WDX</t>
  </si>
  <si>
    <t>كورنر CRP - جراي</t>
  </si>
  <si>
    <t>K1315-GSG</t>
  </si>
  <si>
    <t>كورنر CRP - أسود</t>
  </si>
  <si>
    <t>K1315-GSK</t>
  </si>
  <si>
    <t>برور خارجي كلبس - أبيض</t>
  </si>
  <si>
    <t>KL311-WBW</t>
  </si>
  <si>
    <t>برور خارجي كلبس - بيج</t>
  </si>
  <si>
    <t>KL311-WBB</t>
  </si>
  <si>
    <t>KL311-WDX</t>
  </si>
  <si>
    <t>برور خارجي كلبس - جراي</t>
  </si>
  <si>
    <t>KL311-GSG</t>
  </si>
  <si>
    <t>برور خارجي كلبس - أسود</t>
  </si>
  <si>
    <t>KL311-GSK</t>
  </si>
  <si>
    <t>برور 96 - أبيض</t>
  </si>
  <si>
    <t>KL315-WBW</t>
  </si>
  <si>
    <t>برور 96 - بيج</t>
  </si>
  <si>
    <t>KL315-WBB</t>
  </si>
  <si>
    <t>KL315-WDX</t>
  </si>
  <si>
    <t>برور 96 - جراي</t>
  </si>
  <si>
    <t>KL315-GSG</t>
  </si>
  <si>
    <t>برور 96 - أسود</t>
  </si>
  <si>
    <t>KL315-GSK</t>
  </si>
  <si>
    <t>كوبلن - أبيض</t>
  </si>
  <si>
    <t>KL312-WBW</t>
  </si>
  <si>
    <t>كوبلن - بيج</t>
  </si>
  <si>
    <t>KL312-WBB</t>
  </si>
  <si>
    <t>KL312-WDX</t>
  </si>
  <si>
    <t>كوبلن - جراي</t>
  </si>
  <si>
    <t>KL312-GSG</t>
  </si>
  <si>
    <t>كوبلن - أسود</t>
  </si>
  <si>
    <t>KL312-GSK</t>
  </si>
  <si>
    <t>تجميع ثابت مع جرار - أبيض</t>
  </si>
  <si>
    <t>K1313-WBW</t>
  </si>
  <si>
    <t>تجميع ثابت مع جرار - بيج</t>
  </si>
  <si>
    <t>K1313-WBB</t>
  </si>
  <si>
    <t>K1313-WDX</t>
  </si>
  <si>
    <t>تجميع ثابت مع جرار - جراي</t>
  </si>
  <si>
    <t>K1313-GSG</t>
  </si>
  <si>
    <t>تجميع ثابت مع جرار - أسود</t>
  </si>
  <si>
    <t>K1313-GSK</t>
  </si>
  <si>
    <t>علبة سم 7.5 × سم 7.5 - أبيض</t>
  </si>
  <si>
    <t>K1317-WBW</t>
  </si>
  <si>
    <t>علبة سم 7.5 × سم 7.5 - بيج</t>
  </si>
  <si>
    <t>K1317-WBB</t>
  </si>
  <si>
    <t>K1317-WDX</t>
  </si>
  <si>
    <t>علبة سم 7.5 × سم 7.5 - جراي</t>
  </si>
  <si>
    <t>K1317-GSG</t>
  </si>
  <si>
    <t>علبة سم 7.5 × سم 7.5 - أسود</t>
  </si>
  <si>
    <t>K1317-GSK</t>
  </si>
  <si>
    <t>تراك ضلفة سلك لطش - أبيض</t>
  </si>
  <si>
    <t>K1318-WBW</t>
  </si>
  <si>
    <t>تراك ضلفة سلك لطش - بيج</t>
  </si>
  <si>
    <t>K1318-WBB</t>
  </si>
  <si>
    <t>K1318-WDX</t>
  </si>
  <si>
    <t>تراك ضلفة سلك لطش - جراي</t>
  </si>
  <si>
    <t>K1318-GSG</t>
  </si>
  <si>
    <t>تراك ضلفة سلك لطش - أسود</t>
  </si>
  <si>
    <t>K1318-GSK</t>
  </si>
  <si>
    <t>حلق مفصلي بدون برور - أبيض</t>
  </si>
  <si>
    <t>KP-W1W</t>
  </si>
  <si>
    <t>حلق مفصلي بدون برور - بيج</t>
  </si>
  <si>
    <t>KP-W1B</t>
  </si>
  <si>
    <t>حلق مفصلي ببرور 3.8 سم - أبيض</t>
  </si>
  <si>
    <t>KP-W2W</t>
  </si>
  <si>
    <t>حلق مفصلي ببرور 3.8 سم - بيج</t>
  </si>
  <si>
    <t>KP-W2B</t>
  </si>
  <si>
    <t>حلق مفصلي ببرور كبير 6 سم - أبيض</t>
  </si>
  <si>
    <t>KP-W3W</t>
  </si>
  <si>
    <t>حلق مفصلي ببرور كبير 6 سم - بيج</t>
  </si>
  <si>
    <t>KP-W3B</t>
  </si>
  <si>
    <t>حلق مفصلي ببار 6 سم مقلوب - أبيض</t>
  </si>
  <si>
    <t>KP-W4W</t>
  </si>
  <si>
    <t>حلق مفصلي ببار 6 سم مقلوب - بيج</t>
  </si>
  <si>
    <t>KP-W4B</t>
  </si>
  <si>
    <t>KP-W5W</t>
  </si>
  <si>
    <t>KP-W5B</t>
  </si>
  <si>
    <t>KP-W6W</t>
  </si>
  <si>
    <t>KP-W6B</t>
  </si>
  <si>
    <t>KP-W7W</t>
  </si>
  <si>
    <t>KP-W7B</t>
  </si>
  <si>
    <t>KP-W8W</t>
  </si>
  <si>
    <t>KP-W8B</t>
  </si>
  <si>
    <t>KP-W9W</t>
  </si>
  <si>
    <t>KP-W9B</t>
  </si>
  <si>
    <t>KP-W10W</t>
  </si>
  <si>
    <t>KP-W10B</t>
  </si>
  <si>
    <t>KP-W11W</t>
  </si>
  <si>
    <t>KP-W11B</t>
  </si>
  <si>
    <t>بانل 10 سم - أبيض</t>
  </si>
  <si>
    <t>KP-W12W</t>
  </si>
  <si>
    <t>بانل 10 سم - بيج</t>
  </si>
  <si>
    <t>KP-W12B</t>
  </si>
  <si>
    <t>حلق جرار 2 مجرى بدون برور - أبيض</t>
  </si>
  <si>
    <t>KP-WG1W</t>
  </si>
  <si>
    <t>حلق جرار 2 مجرى بدون برور - بيج</t>
  </si>
  <si>
    <t>KP-WG1B</t>
  </si>
  <si>
    <t>حلق جرار 2 مجرى ببرور - أبيض</t>
  </si>
  <si>
    <t>KP-WG2W</t>
  </si>
  <si>
    <t>حلق جرار 2 مجرى ببرور - بيج</t>
  </si>
  <si>
    <t>KP-WG2B</t>
  </si>
  <si>
    <t>حلق جرار 3 مجرى بدون برور - أبيض</t>
  </si>
  <si>
    <t>KP-WG3W</t>
  </si>
  <si>
    <t>حلق جرار 3 مجرى بدون برور - بيج</t>
  </si>
  <si>
    <t>KP-WG3B</t>
  </si>
  <si>
    <t>KP-WG4W</t>
  </si>
  <si>
    <t>KP-WG4B</t>
  </si>
  <si>
    <t>حلق جرار 3 مجرى ببرور 6 سم - أبيض</t>
  </si>
  <si>
    <t>KP-WG5W</t>
  </si>
  <si>
    <t>حلق جرار 3 مجرى ببرور 6 سم - بيج</t>
  </si>
  <si>
    <t>KP-WG5B</t>
  </si>
  <si>
    <t>حلق جرار 3 مجرى ببرور 3,8 سم - أبيض</t>
  </si>
  <si>
    <t>KP-WG6W</t>
  </si>
  <si>
    <t>حلق جرار 3 مجرى ببرور 3,8 سم - بيج</t>
  </si>
  <si>
    <t>KP-WG6B</t>
  </si>
  <si>
    <t>ضلفة شباك جرار - أبيض</t>
  </si>
  <si>
    <t>KP-WG7W</t>
  </si>
  <si>
    <t>ضلفة شباك جرار - بيج</t>
  </si>
  <si>
    <t>KP-WG7B</t>
  </si>
  <si>
    <t>KP-WG8W</t>
  </si>
  <si>
    <t>KP-WG8B</t>
  </si>
  <si>
    <t>حلق مونوريل - أبيض</t>
  </si>
  <si>
    <t>KP-WG9W</t>
  </si>
  <si>
    <t>حلق مونوريل - بيج</t>
  </si>
  <si>
    <t>KP-WG9B</t>
  </si>
  <si>
    <t>سقاس مونو ريل - أبيض</t>
  </si>
  <si>
    <t>KP-WG10W</t>
  </si>
  <si>
    <t>سقاس مونو ريل - بيج</t>
  </si>
  <si>
    <t>KP-WG10B</t>
  </si>
  <si>
    <t>KP-WG11W</t>
  </si>
  <si>
    <t>KP-WG11B</t>
  </si>
  <si>
    <t>KP-WG12W</t>
  </si>
  <si>
    <t>KP-WG12B</t>
  </si>
  <si>
    <t>KP-WG13W</t>
  </si>
  <si>
    <t>KP-WG13B</t>
  </si>
  <si>
    <t>KP-WG14W</t>
  </si>
  <si>
    <t>KP-WG14B</t>
  </si>
  <si>
    <t>طبة + سكينة كبيرة - أبيض</t>
  </si>
  <si>
    <t>KP-WG15W</t>
  </si>
  <si>
    <t>طبة + سكينة كبيرة - بيج</t>
  </si>
  <si>
    <t>KP-WG15B</t>
  </si>
  <si>
    <t>ضلفة سلك - أبيض</t>
  </si>
  <si>
    <t>KP-WG16W</t>
  </si>
  <si>
    <t>ضلفة سلك - بيج</t>
  </si>
  <si>
    <t>KP-WG16B</t>
  </si>
  <si>
    <t>KP-WG17W</t>
  </si>
  <si>
    <t>KP-WG17B</t>
  </si>
  <si>
    <t>سقاس ضلفة سلك - أبيض</t>
  </si>
  <si>
    <t>KP-WG18W</t>
  </si>
  <si>
    <t>سقاس ضلفة سلك - بيج</t>
  </si>
  <si>
    <t>KP-WG18B</t>
  </si>
  <si>
    <t>تراك ألمونيوم - أبيض</t>
  </si>
  <si>
    <t>KP-WG19W</t>
  </si>
  <si>
    <t>تراك ألمونيوم - بيج</t>
  </si>
  <si>
    <t>KP-WG19B</t>
  </si>
  <si>
    <t>تراك سلك لطش (مفصلي وجرار) - أبيض</t>
  </si>
  <si>
    <t>KP-WG20W</t>
  </si>
  <si>
    <t>تراك سلك لطش (مفصلي وجرار) - بيج</t>
  </si>
  <si>
    <t>KP-WG20B</t>
  </si>
  <si>
    <t>KP-D1X</t>
  </si>
  <si>
    <t>KP-D2X</t>
  </si>
  <si>
    <t>KP-D3X</t>
  </si>
  <si>
    <t>KP-D4X</t>
  </si>
  <si>
    <t>KP-D5X</t>
  </si>
  <si>
    <t>KP-D6X</t>
  </si>
  <si>
    <t>KP-D7X</t>
  </si>
  <si>
    <t>KP-D8X</t>
  </si>
  <si>
    <t>KP-D9X</t>
  </si>
  <si>
    <t>KP-D10X</t>
  </si>
  <si>
    <t>KP-D11X</t>
  </si>
  <si>
    <t>KP-D12X</t>
  </si>
  <si>
    <t>KP-DG1X</t>
  </si>
  <si>
    <t>KP-DG2X</t>
  </si>
  <si>
    <t>حلق جرار 3 مجرى ببرور 3,8 سم - خشابي</t>
  </si>
  <si>
    <t>KP-DG3X</t>
  </si>
  <si>
    <t>KP-DG4X</t>
  </si>
  <si>
    <t>KP-DG5X</t>
  </si>
  <si>
    <t>KP-DG6X</t>
  </si>
  <si>
    <t>KP-DG7X</t>
  </si>
  <si>
    <t>KP-DG8X</t>
  </si>
  <si>
    <t>KP-DG9X</t>
  </si>
  <si>
    <t>KP-DG10X</t>
  </si>
  <si>
    <t>KP-DG11X</t>
  </si>
  <si>
    <t>KP-DG12X</t>
  </si>
  <si>
    <t>KP-DG13X</t>
  </si>
  <si>
    <t>KP-DG14X</t>
  </si>
  <si>
    <t>KP-DG15X</t>
  </si>
  <si>
    <t>KP-DG16X</t>
  </si>
  <si>
    <t>KP-DG17X</t>
  </si>
  <si>
    <t>KP-GG1G</t>
  </si>
  <si>
    <t>KP-GG2G</t>
  </si>
  <si>
    <t>KP-GG3G</t>
  </si>
  <si>
    <t>KP-GG4G</t>
  </si>
  <si>
    <t>KP-GG5G</t>
  </si>
  <si>
    <t>KP-GG6G</t>
  </si>
  <si>
    <t>KP-GG7G</t>
  </si>
  <si>
    <t>KP-GG8G</t>
  </si>
  <si>
    <t>KP-GG9G</t>
  </si>
  <si>
    <t>KP-GG10G</t>
  </si>
  <si>
    <t>KP-G1G</t>
  </si>
  <si>
    <t>KP-G2G</t>
  </si>
  <si>
    <t>KP-G3G</t>
  </si>
  <si>
    <t>KP-G4G</t>
  </si>
  <si>
    <t>KP-G5G</t>
  </si>
  <si>
    <t>KP-G6G</t>
  </si>
  <si>
    <t>KP-G7G</t>
  </si>
  <si>
    <t>KP-G8G</t>
  </si>
  <si>
    <t>KP-G9G</t>
  </si>
  <si>
    <t>KP-O1O</t>
  </si>
  <si>
    <t>KP-O2O</t>
  </si>
  <si>
    <t>KP-O3O</t>
  </si>
  <si>
    <t>KP-O4O</t>
  </si>
  <si>
    <t>KP-O5O</t>
  </si>
  <si>
    <t>KP-O6O</t>
  </si>
  <si>
    <t>KP-O7O</t>
  </si>
  <si>
    <t>KP-O8O</t>
  </si>
  <si>
    <t>KP-O9O</t>
  </si>
  <si>
    <t>KP-O10O</t>
  </si>
  <si>
    <t>KP-OG1O</t>
  </si>
  <si>
    <t>KP-OG2O</t>
  </si>
  <si>
    <t>KP-OG3O</t>
  </si>
  <si>
    <t>KP-OG4O</t>
  </si>
  <si>
    <t>KP-OG5O</t>
  </si>
  <si>
    <t>KP-OG6O</t>
  </si>
  <si>
    <t>KP-OG7O</t>
  </si>
  <si>
    <t>KP-OG8O</t>
  </si>
  <si>
    <t>KP-OG9O</t>
  </si>
  <si>
    <t>ماسورة CRB - بيج</t>
  </si>
  <si>
    <t>KP-SUP1B</t>
  </si>
  <si>
    <t>ماسورة CRB - أبيض</t>
  </si>
  <si>
    <t>KP-SUP1W</t>
  </si>
  <si>
    <t>KP-SUP2X</t>
  </si>
  <si>
    <t>KP-SUP3G</t>
  </si>
  <si>
    <t>KP-SUP4O</t>
  </si>
  <si>
    <t>كورنر CRB - بيج</t>
  </si>
  <si>
    <t>KP-SUP5B</t>
  </si>
  <si>
    <t>كورنر CRB - أبيض</t>
  </si>
  <si>
    <t>KP-SUP5W</t>
  </si>
  <si>
    <t>KP-SUP6X</t>
  </si>
  <si>
    <t>KP-SUP7G</t>
  </si>
  <si>
    <t>KP-SUP8O</t>
  </si>
  <si>
    <t>KP-SUP9B</t>
  </si>
  <si>
    <t>KP-SUP9W</t>
  </si>
  <si>
    <t>KP-SUP10X</t>
  </si>
  <si>
    <t>KP-SUP11G</t>
  </si>
  <si>
    <t>KP-SUP12O</t>
  </si>
  <si>
    <t>KP-SUP19B</t>
  </si>
  <si>
    <t>KP-SUP19W</t>
  </si>
  <si>
    <t>KP-SUP20X</t>
  </si>
  <si>
    <t>KP-SUP21G</t>
  </si>
  <si>
    <t>KP-SUP22O</t>
  </si>
  <si>
    <t>مقبض بارز (أبيض)</t>
  </si>
  <si>
    <t>ACC-HD1W</t>
  </si>
  <si>
    <t>مقبض بارز (بيج)</t>
  </si>
  <si>
    <t>ACC-HD1B</t>
  </si>
  <si>
    <t>ACC-HD2Y</t>
  </si>
  <si>
    <t>مقبض ببصمة جديد (أبيض)</t>
  </si>
  <si>
    <t>ACC-HD3W</t>
  </si>
  <si>
    <t>مقبض ببصمة جديد (بيج)</t>
  </si>
  <si>
    <t>ACC-HD3B</t>
  </si>
  <si>
    <t>مقبض فاخر (أبيض)</t>
  </si>
  <si>
    <t>ACC-HD4W</t>
  </si>
  <si>
    <t>مقبض فاخر (بيج)</t>
  </si>
  <si>
    <t>ACC-HD4B</t>
  </si>
  <si>
    <t>ACC-HD5Y</t>
  </si>
  <si>
    <t>مقبض فاخر (جراي)</t>
  </si>
  <si>
    <t>ACC-HD6G</t>
  </si>
  <si>
    <t>مقبض فاخر (أسود)</t>
  </si>
  <si>
    <t>ACC-HD6K</t>
  </si>
  <si>
    <t>ACC-HD7Z</t>
  </si>
  <si>
    <t>مقبض فاخر جديد المطور (أبيض)</t>
  </si>
  <si>
    <t>ACC-HD8W</t>
  </si>
  <si>
    <t>مقبض فاخر جديد المطور (بيج)</t>
  </si>
  <si>
    <t>ACC-HD8B</t>
  </si>
  <si>
    <t>مقبض اليو جديد (أبيض)</t>
  </si>
  <si>
    <t>ACC-HD9W</t>
  </si>
  <si>
    <t>مقبض اليو جديد (بيج)</t>
  </si>
  <si>
    <t>ACC-HD9B</t>
  </si>
  <si>
    <t>مقبض اليو جديد (خشبي)</t>
  </si>
  <si>
    <t>ACC-HD10X</t>
  </si>
  <si>
    <t>مقبض اليو جديد (جراي)</t>
  </si>
  <si>
    <t>ACC-HD10G</t>
  </si>
  <si>
    <t>مقبض اليو جديد (أسود)</t>
  </si>
  <si>
    <t>ACC-HD10K</t>
  </si>
  <si>
    <t>مقبض جرار دفن (أبيض)</t>
  </si>
  <si>
    <t>ACC-HD11W</t>
  </si>
  <si>
    <t>مقبض جرار دفن (بيج)</t>
  </si>
  <si>
    <t>ACC-HD11B</t>
  </si>
  <si>
    <t>مقبض جرار دفن (خشبي)</t>
  </si>
  <si>
    <t>ACC-HD12X</t>
  </si>
  <si>
    <t>مقبض جرار دفن (أسود)</t>
  </si>
  <si>
    <t>ACC-HD12K</t>
  </si>
  <si>
    <t>مقبض جرار دفن (جراي)</t>
  </si>
  <si>
    <t>ACC-HD12G</t>
  </si>
  <si>
    <t>ACC-HD13O</t>
  </si>
  <si>
    <t>مقبض الماني بمفتاح (أبيض)</t>
  </si>
  <si>
    <t>ACC-HD14W</t>
  </si>
  <si>
    <t>مقبض الماني بمفتاح (بيج)</t>
  </si>
  <si>
    <t>ACC-HD14B</t>
  </si>
  <si>
    <t>مقبض الماني بمفتاح (سلفر)</t>
  </si>
  <si>
    <t>ACC-HD14S</t>
  </si>
  <si>
    <t>مقبض جامبو (أبيض)</t>
  </si>
  <si>
    <t>ACC-HD15W</t>
  </si>
  <si>
    <t>مقبض جامبو (بيج)</t>
  </si>
  <si>
    <t>ACC-HD15B</t>
  </si>
  <si>
    <t>مقبض جامبو (بني)</t>
  </si>
  <si>
    <t>ACC-HD15N</t>
  </si>
  <si>
    <t>مقبض جامبو (جولدن)</t>
  </si>
  <si>
    <t>ACC-HD15Y</t>
  </si>
  <si>
    <t>مقبض وجهين سلندر/إشارة (أبيض)</t>
  </si>
  <si>
    <t>ACC-HDD1W</t>
  </si>
  <si>
    <t>مقبض وجهين سلندر/إشارة (بيج)</t>
  </si>
  <si>
    <t>ACC-HDD1B</t>
  </si>
  <si>
    <t>مقبض وجهين سلندر/إشارة (خشبي)</t>
  </si>
  <si>
    <t>ACC-HDD2X</t>
  </si>
  <si>
    <t>مقبض وجهين سلندر/إشارة (أسود)</t>
  </si>
  <si>
    <t>ACC-HDD2K</t>
  </si>
  <si>
    <t>ACC-HDD3O</t>
  </si>
  <si>
    <t>ACC-HDD4K</t>
  </si>
  <si>
    <t>مفصلة D3 (أبيض)</t>
  </si>
  <si>
    <t>ACC-HNG-D3WW</t>
  </si>
  <si>
    <t>مفصلة D3 (بيج)</t>
  </si>
  <si>
    <t>ACC-HNG-D3WB</t>
  </si>
  <si>
    <t>مفصلة D3 (خشبي)</t>
  </si>
  <si>
    <t>ACC-HNG-D3CX</t>
  </si>
  <si>
    <t>مفصلة D3 (أسود)</t>
  </si>
  <si>
    <t>ACC-HNG-D3CK</t>
  </si>
  <si>
    <t>مفصلة D3 (جراي)</t>
  </si>
  <si>
    <t>ACC-HNG-D3CG</t>
  </si>
  <si>
    <t>مفصلة D3 (أرو)</t>
  </si>
  <si>
    <t>ACC-HNG-D3CO</t>
  </si>
  <si>
    <t>مفصلة 7.5 سم (أبيض)</t>
  </si>
  <si>
    <t>ACC-HNG-75WW</t>
  </si>
  <si>
    <t>مفصلة 7.5 سم (بيج)</t>
  </si>
  <si>
    <t>ACC-HNG-75WB</t>
  </si>
  <si>
    <t>مفصلة سم 7.5 (خشبي)</t>
  </si>
  <si>
    <t>ACC-HNG-75CX</t>
  </si>
  <si>
    <t>مفصلة سم 7.5 (أسود)</t>
  </si>
  <si>
    <t>ACC-HNG-75CK</t>
  </si>
  <si>
    <t>مفصلة سم 7.5 (جراي)</t>
  </si>
  <si>
    <t>ACC-HNG-75CG</t>
  </si>
  <si>
    <t>مفصلة سم 7.5 (أرو)</t>
  </si>
  <si>
    <t>ACC-HNG-75AO</t>
  </si>
  <si>
    <t>ACC-HNG-75AK</t>
  </si>
  <si>
    <t>مفصلة 10 سم (أبيض)</t>
  </si>
  <si>
    <t>ACC-HNG-10WW</t>
  </si>
  <si>
    <t>مفصلة 10 سم (بيج)</t>
  </si>
  <si>
    <t>ACC-HNG-10WB</t>
  </si>
  <si>
    <t>مفصلة 10 سم (خشبي)</t>
  </si>
  <si>
    <t>ACC-HNG-10CX</t>
  </si>
  <si>
    <t>مفصلة 10 سم (أسود)</t>
  </si>
  <si>
    <t>ACC-HNG-10CK</t>
  </si>
  <si>
    <t>مفصلة 10 سم (جراي)</t>
  </si>
  <si>
    <t>ACC-HNG-10CG</t>
  </si>
  <si>
    <t>ACC-HNG-10AO</t>
  </si>
  <si>
    <t>غطاء بلاستيك مفصلي قلاب أبيض</t>
  </si>
  <si>
    <t>ACC-TT-34W</t>
  </si>
  <si>
    <t>غطاء بلاستيك مفصلي قلاب بيج</t>
  </si>
  <si>
    <t>ACC-TT-34B</t>
  </si>
  <si>
    <t>بوكس 16.5 سم (أبيض) (علبه + غطاء)</t>
  </si>
  <si>
    <t>SHUT-BOX-01W</t>
  </si>
  <si>
    <t>بوكس 16.5 سم (بيج) (علبه + غطاء)</t>
  </si>
  <si>
    <t>SHUT-BOX-01B</t>
  </si>
  <si>
    <t>بوكس 16.5 سم (خشبي) (علبه + غطاء)</t>
  </si>
  <si>
    <t>SHUT-BOX-02X</t>
  </si>
  <si>
    <t>بوكس 16.5 سم (جراي) (علبه + غطاء)</t>
  </si>
  <si>
    <t>SHUT-BOX-02G</t>
  </si>
  <si>
    <t>بوكس 18 سم (أبيض) (علبه + غطاء)</t>
  </si>
  <si>
    <t>SHUT-BOX-03W</t>
  </si>
  <si>
    <t>بوكس 18 سم (بيج) (علبه + غطاء)</t>
  </si>
  <si>
    <t>SHUT-BOX-03B</t>
  </si>
  <si>
    <t>بوكس 18 سم (خشبي) (علبه + غطاء)</t>
  </si>
  <si>
    <t>SHUT-BOX-04X</t>
  </si>
  <si>
    <t>بوكس 18 سم (جراي) (علبه + غطاء)</t>
  </si>
  <si>
    <t>SHUT-BOX-04G</t>
  </si>
  <si>
    <t>بوكس 20.5 سم (أبيض) (علبه + غطاء)</t>
  </si>
  <si>
    <t>SHUT-BOX-05W</t>
  </si>
  <si>
    <t>بوكس 20.5 سم (بيج) (علبه + غطاء)</t>
  </si>
  <si>
    <t>SHUT-BOX-05B</t>
  </si>
  <si>
    <t>بوكس 20.5 سم (خشبي) (علبه + غطاء)</t>
  </si>
  <si>
    <t>SHUT-BOX-06X</t>
  </si>
  <si>
    <t>بوكس 20.5 سم (جراي) (علبه + غطاء)</t>
  </si>
  <si>
    <t>SHUT-BOX-06G</t>
  </si>
  <si>
    <t>بوكس 25 سم (أبيض) (علبه + غطاء)</t>
  </si>
  <si>
    <t>SHUT-BOX-07W</t>
  </si>
  <si>
    <t>بوكس 25 سم (بيج) (علبه + غطاء)</t>
  </si>
  <si>
    <t>SHUT-BOX-07B</t>
  </si>
  <si>
    <t>بوكس 25 سم (خشبي) (علبه + غطاء)</t>
  </si>
  <si>
    <t>SHUT-BOX-08X</t>
  </si>
  <si>
    <t>بوكس 25 سم (جراي) (علبه + غطاء)</t>
  </si>
  <si>
    <t>SHUT-BOX-08G</t>
  </si>
  <si>
    <t>بوكس 30 سم (أبيض) (علبه + غطاء)</t>
  </si>
  <si>
    <t>SHUT-BOX-09W</t>
  </si>
  <si>
    <t>بوكس 30 سم (بيج) (علبه + غطاء)</t>
  </si>
  <si>
    <t>SHUT-BOX-09B</t>
  </si>
  <si>
    <t>بوكس 30 سم (خشبي) (علبه + غطاء)</t>
  </si>
  <si>
    <t>SHUT-BOX-10X</t>
  </si>
  <si>
    <t>بوكس 30 سم (جراي) (علبه + غطاء)</t>
  </si>
  <si>
    <t>SHUT-BOX-10G</t>
  </si>
  <si>
    <t>خد صندوق شاتر 16.5 سم (أبيض)</t>
  </si>
  <si>
    <t>SHUT-CHEEK-01W</t>
  </si>
  <si>
    <t>خد صندوق شاتر 16.5 سم (بيج)</t>
  </si>
  <si>
    <t>SHUT-CHEEK-01B</t>
  </si>
  <si>
    <t>خد صندوق شاتر 16.5 سم (خشبي)</t>
  </si>
  <si>
    <t>SHUT-CHEEK-02X</t>
  </si>
  <si>
    <t>خد صندوق شاتر 16.5 سم (جراي)</t>
  </si>
  <si>
    <t>SHUT-CHEEK-02G</t>
  </si>
  <si>
    <t>خد صندوق شاتر 18 سم (أبيض)</t>
  </si>
  <si>
    <t>SHUT-CHEEK-03W</t>
  </si>
  <si>
    <t>خد صندوق شاتر 18 سم (بيج)</t>
  </si>
  <si>
    <t>SHUT-CHEEK-03B</t>
  </si>
  <si>
    <t>خد صندوق شاتر 18 سم (خشبي)</t>
  </si>
  <si>
    <t>SHUT-CHEEK-04X</t>
  </si>
  <si>
    <t>خد صندوق شاتر 18 سم (جراي)</t>
  </si>
  <si>
    <t>SHUT-CHEEK-04G</t>
  </si>
  <si>
    <t>خد صندوق شاتر 20.5 سم (أبيض)</t>
  </si>
  <si>
    <t>SHUT-CHEEK-05W</t>
  </si>
  <si>
    <t>خد صندوق شاتر 20.5 سم (بيج)</t>
  </si>
  <si>
    <t>SHUT-CHEEK-05B</t>
  </si>
  <si>
    <t>خد صندوق شاتر 20.5 سم (خشبي)</t>
  </si>
  <si>
    <t>SHUT-CHEEK-06X</t>
  </si>
  <si>
    <t>خد صندوق شاتر 20.5 سم (جراي)</t>
  </si>
  <si>
    <t>SHUT-CHEEK-06G</t>
  </si>
  <si>
    <t>خد صندوق شاتر 25 سم (أبيض)</t>
  </si>
  <si>
    <t>SHUT-CHEEK-07W</t>
  </si>
  <si>
    <t>خد صندوق شاتر 25 سم (بيج)</t>
  </si>
  <si>
    <t>SHUT-CHEEK-07B</t>
  </si>
  <si>
    <t>خد صندوق شاتر 25 سم (خشبي)</t>
  </si>
  <si>
    <t>SHUT-CHEEK-08X</t>
  </si>
  <si>
    <t>خد صندوق شاتر 25 سم (جراي)</t>
  </si>
  <si>
    <t>SHUT-CHEEK-08G</t>
  </si>
  <si>
    <t>خد صندوق شاتر 30 سم (أبيض)</t>
  </si>
  <si>
    <t>SHUT-CHEEK-09W</t>
  </si>
  <si>
    <t>خد صندوق شاتر 30 سم (بيج)</t>
  </si>
  <si>
    <t>SHUT-CHEEK-09B</t>
  </si>
  <si>
    <t>خد صندوق شاتر 30 سم (خشبي)</t>
  </si>
  <si>
    <t>SHUT-CHEEK-10X</t>
  </si>
  <si>
    <t>خد صندوق شاتر 30 سم (جراي)</t>
  </si>
  <si>
    <t>SHUT-CHEEK-10G</t>
  </si>
  <si>
    <t>شريحة 5 سم أبيض أسباني</t>
  </si>
  <si>
    <t>SHUT-SLAT-01W</t>
  </si>
  <si>
    <t>شريحة 5 سم بيج أسباني</t>
  </si>
  <si>
    <t>SHUT-SLAT-01B</t>
  </si>
  <si>
    <t>شريحة 5.5 سم أبيض أسباني</t>
  </si>
  <si>
    <t>SHUT-SLAT-02W</t>
  </si>
  <si>
    <t>شريحة 5.5 سم بيج أسباني</t>
  </si>
  <si>
    <t>SHUT-SLAT-02B</t>
  </si>
  <si>
    <t>شريحة حماية من الحشرات مثقبة 5 سم إيطالي أبيض</t>
  </si>
  <si>
    <t>SHUT-SLAT-03W</t>
  </si>
  <si>
    <t>شريحة حماية من الحشرات مثقبة 5 سم إيطالي بيج</t>
  </si>
  <si>
    <t>SHUT-SLAT-03B</t>
  </si>
  <si>
    <t>شريحة إيطالي إنارة واسعة 5 سم أبيض</t>
  </si>
  <si>
    <t>SHUT-SLAT-04W</t>
  </si>
  <si>
    <t>شريحة إيطالي إنارة واسعة 5 سم بيج</t>
  </si>
  <si>
    <t>SHUT-SLAT-04B</t>
  </si>
  <si>
    <t>شريحة أكسا 5 سم أبيض - جديدة</t>
  </si>
  <si>
    <t>SHUT-SLAT-05W</t>
  </si>
  <si>
    <t>شريحة أكسا 5 سم بيج - جديدة</t>
  </si>
  <si>
    <t>SHUT-SLAT-05B</t>
  </si>
  <si>
    <t>SHUT-SLAT-06G</t>
  </si>
  <si>
    <t>شريحة شاتر 5.5 سم أبيض (أكسا)</t>
  </si>
  <si>
    <t>SHUT-SLAT-07W</t>
  </si>
  <si>
    <t>شريحة شاتر 5.5 سم بيج (أكسا)</t>
  </si>
  <si>
    <t>SHUT-SLAT-07B</t>
  </si>
  <si>
    <t>SHUT-SLAT-08G</t>
  </si>
  <si>
    <t>شريحة شاتر 5.5 سم أبيض (12 كجم) زنكونيوم</t>
  </si>
  <si>
    <t>SHUT-SLAT-09W</t>
  </si>
  <si>
    <t>شريحة شاتر 5.5 سم بيج (12 كجم) زنكونيوم</t>
  </si>
  <si>
    <t>SHUT-SLAT-09B</t>
  </si>
  <si>
    <t>شريحة شاتر 5.5 سم أبيض (9 كجم) زنكونيوم</t>
  </si>
  <si>
    <t>SHUT-SLAT-10W</t>
  </si>
  <si>
    <t>شريحة شاتر 5.5 سم بيج (9 كجم) زنكونيوم</t>
  </si>
  <si>
    <t>SHUT-SLAT-10B</t>
  </si>
  <si>
    <t>شريحة شاتر سوبر 7.7 سم أبيض زنكونيوم (بدون خصم)</t>
  </si>
  <si>
    <t>SHUT-SLAT-11W</t>
  </si>
  <si>
    <t>شريحة شاتر سوبر 7.7 سم بيج زنكونيوم (بدون خصم)</t>
  </si>
  <si>
    <t>SHUT-SLAT-11B</t>
  </si>
  <si>
    <t>شريحة شاتر سوبر 10 سم أبيض زنكونيوم (بدون خصم)</t>
  </si>
  <si>
    <t>SHUT-SLAT-12W</t>
  </si>
  <si>
    <t>شريحة شاتر سوبر 10 سم بيج زنكونيوم (بدون خصم)</t>
  </si>
  <si>
    <t>SHUT-SLAT-12B</t>
  </si>
  <si>
    <t>شريحة شاتر سوبر 7.7 سم أبيض (بدون خصم)</t>
  </si>
  <si>
    <t>SHUT-SLAT-13W</t>
  </si>
  <si>
    <t>شريحة شاتر سوبر 7.7 سم بيج (بدون خصم)</t>
  </si>
  <si>
    <t>SHUT-SLAT-13B</t>
  </si>
  <si>
    <t>MOT-IT-38W</t>
  </si>
  <si>
    <t>MOT-IT-39K</t>
  </si>
  <si>
    <t>MOT-TR-35W</t>
  </si>
  <si>
    <t>SHUT-ACC-06W</t>
  </si>
  <si>
    <t>ACC-TSK-TRRHR</t>
  </si>
  <si>
    <t>عصفورة أمان (أبيض)</t>
  </si>
  <si>
    <t>ACC-TSK-ASFW</t>
  </si>
  <si>
    <t>عصفورة أمان (بيج)</t>
  </si>
  <si>
    <t>ACC-TSK-ASFB</t>
  </si>
  <si>
    <t>عصفورة أمان (خشبي)</t>
  </si>
  <si>
    <t>ACC-TSK-ASFX</t>
  </si>
  <si>
    <t>عصفورة (أبيض)</t>
  </si>
  <si>
    <t>ACC-TSK-ASPW</t>
  </si>
  <si>
    <t>عصفورة (بيج)</t>
  </si>
  <si>
    <t>ACC-TSK-ASPB</t>
  </si>
  <si>
    <t>عصفورة (بني)</t>
  </si>
  <si>
    <t>ACC-TSK-ASPN</t>
  </si>
  <si>
    <t>عصفورة (جولدن أوك)</t>
  </si>
  <si>
    <t>ACC-TSK-ASPY</t>
  </si>
  <si>
    <t>طبة مسمار محارة (أبيض)</t>
  </si>
  <si>
    <t>ACC-PL-TBMW</t>
  </si>
  <si>
    <t>طبة مسمار محارة (بيج)</t>
  </si>
  <si>
    <t>ACC-PL-TBMB</t>
  </si>
  <si>
    <t>طبة مسمار محارة (جولدن)</t>
  </si>
  <si>
    <t>ACC-PL-TBMY</t>
  </si>
  <si>
    <t>غطاء فتحة مطر (أبيض)</t>
  </si>
  <si>
    <t>ACC-PL-GTMW</t>
  </si>
  <si>
    <t>غطاء فتحة مطر (بيج)</t>
  </si>
  <si>
    <t>ACC-PL-GTMB</t>
  </si>
  <si>
    <t>غطاء فتحة مطر (جولدن)</t>
  </si>
  <si>
    <t>ACC-PL-GTMY</t>
  </si>
  <si>
    <t>سيليكون ماستيك (أبيض) تركي</t>
  </si>
  <si>
    <t>ACC-SLF-SMWW</t>
  </si>
  <si>
    <t>سيليكون ماستيك (بيج) تركي</t>
  </si>
  <si>
    <t>ACC-SLF-SMWB</t>
  </si>
  <si>
    <t>سيليكون ماستيك (بني) تركي</t>
  </si>
  <si>
    <t>ACC-SLF-SMWN</t>
  </si>
  <si>
    <t>سيليكون (رمادي)</t>
  </si>
  <si>
    <t>ACC-SLF-SLCG</t>
  </si>
  <si>
    <t>سيليكون (خشبي)</t>
  </si>
  <si>
    <t>ACC-SLF-SLCX</t>
  </si>
  <si>
    <t>كورنر سلك مفصلي (أبيض)</t>
  </si>
  <si>
    <t>ACC-NW-KRNW</t>
  </si>
  <si>
    <t>كورنر سلك مفصلي (بيج)</t>
  </si>
  <si>
    <t>ACC-NW-KRNB</t>
  </si>
  <si>
    <t>كورنر سلك مفصلي (جولدن)</t>
  </si>
  <si>
    <t>ACC-NW-KRNY</t>
  </si>
  <si>
    <t>مانع اتربة - أبيض</t>
  </si>
  <si>
    <t>ACC-PL-DSTW</t>
  </si>
  <si>
    <t>مانع اتربة - بيج</t>
  </si>
  <si>
    <t>ACC-PL-DSTB</t>
  </si>
  <si>
    <t>فرش قطاعات 6*7</t>
  </si>
  <si>
    <t>ACC-PL-BR67</t>
  </si>
  <si>
    <t>مقبض ضلفة سلك - أبيض</t>
  </si>
  <si>
    <t>ACC-NW-HNDW</t>
  </si>
  <si>
    <t>مقبض ضلفة سلك - بيج</t>
  </si>
  <si>
    <t>ACC-NW-HNDB</t>
  </si>
  <si>
    <t>مقبض ضلفة سلك مفصلي - أبيض</t>
  </si>
  <si>
    <t>ACC-NW-HDHW</t>
  </si>
  <si>
    <t>مقبض ضلفة سلك مفصلي - بيج</t>
  </si>
  <si>
    <t>ACC-NW-HDHB</t>
  </si>
  <si>
    <t>تقابل 4 ضلفه - أبيض</t>
  </si>
  <si>
    <t>K1319-WBW</t>
  </si>
  <si>
    <t>تقابل 4 ضلفه - بيج</t>
  </si>
  <si>
    <t>K1319-WBB</t>
  </si>
  <si>
    <t>تقابل سلك - أبيض</t>
  </si>
  <si>
    <t>K1320-WBW</t>
  </si>
  <si>
    <t>تقابل سلك - بيج</t>
  </si>
  <si>
    <t>K1320-WBB</t>
  </si>
  <si>
    <t>طقم نهاية بوكلير 2 قطعة - أبيض</t>
  </si>
  <si>
    <t>K1620-WBW</t>
  </si>
  <si>
    <t>طقم نهاية بوكلير 2 قطعة - بيج</t>
  </si>
  <si>
    <t>K1620-WBB</t>
  </si>
  <si>
    <t>طقم كعب سقاس سلك جرار - أبيض</t>
  </si>
  <si>
    <t>ACC-NW-HKTW</t>
  </si>
  <si>
    <t>طقم كعب سقاس سلك جرار - بيج</t>
  </si>
  <si>
    <t>ACC-NW-HKTB</t>
  </si>
  <si>
    <t>طقم نهاية بوكلير - أبيض</t>
  </si>
  <si>
    <t>K1621-WBW</t>
  </si>
  <si>
    <t>طقم نهاية بوكلير - بيج</t>
  </si>
  <si>
    <t>K1621-WBB</t>
  </si>
  <si>
    <t>فورش 7*7</t>
  </si>
  <si>
    <t>ACC-PL-BR77</t>
  </si>
  <si>
    <t>طقم كعب سقاس سلك - أبيض</t>
  </si>
  <si>
    <t>ACC-NW-HKW</t>
  </si>
  <si>
    <t>طقم كعب سقاس سلك - بيج</t>
  </si>
  <si>
    <t>ACC-NW-HKB</t>
  </si>
  <si>
    <t>اسم المنتج النهائي</t>
  </si>
  <si>
    <t>المواد الخام</t>
  </si>
  <si>
    <t xml:space="preserve">كمية المواد الخام </t>
  </si>
  <si>
    <t>حلق جرار 3 مجري ببرور3,8 سم كومبن</t>
  </si>
  <si>
    <t>حسب المقاسات طول العود 6متر</t>
  </si>
  <si>
    <t>حسب المقاسات طول العود 2.5-5متر</t>
  </si>
  <si>
    <t>تراك المونيوم كومبن</t>
  </si>
  <si>
    <t>ضلفة شباك جرار كومبن</t>
  </si>
  <si>
    <t>طبة + سكينة لضلفة جرار صغيرة كومبن</t>
  </si>
  <si>
    <t>باكته سنجل جرار كومبن / باكتة دبل جرار كومبن</t>
  </si>
  <si>
    <t>KP-WG12W / KP-WG13W</t>
  </si>
  <si>
    <t xml:space="preserve">ضلفة سلك صغيره كومبن </t>
  </si>
  <si>
    <t>حديد ضلفة سلك كومبن صغيره</t>
  </si>
  <si>
    <t>مقبض فاخر</t>
  </si>
  <si>
    <t>مقبض جرار دفن</t>
  </si>
  <si>
    <t xml:space="preserve">مانع اتربة </t>
  </si>
  <si>
    <t>سبليونة جرار 60سم فورنكس</t>
  </si>
  <si>
    <t xml:space="preserve">سكاك جرار لوكس فورنا </t>
  </si>
  <si>
    <t>طقم عجل سنجل جرار 50-70سم 4 ق</t>
  </si>
  <si>
    <t>باللفه علي حسب المقاسات</t>
  </si>
  <si>
    <t xml:space="preserve">عجلة سلك جرار </t>
  </si>
  <si>
    <t>مقبض ضلفة سلك</t>
  </si>
  <si>
    <t xml:space="preserve">جوان تثبيت سلك وسط </t>
  </si>
  <si>
    <t>طبة + سكينة لضلفة جرار صغيره كومبن</t>
  </si>
  <si>
    <t>حلق جرار 3 مجري ببرور6 سم كومبن</t>
  </si>
  <si>
    <t>تراك المونيوم</t>
  </si>
  <si>
    <t>ضلفة باب جرار كومبن</t>
  </si>
  <si>
    <t>طبة + سكينة لضلفة جرار كبير كومبن</t>
  </si>
  <si>
    <t>ضلفة سلك كومبن / ضلفة سلك كبيره كومبن</t>
  </si>
  <si>
    <t>KP-WG16W / KP-WG17W</t>
  </si>
  <si>
    <t>حديد ضلفة سلك كومبن كبيره</t>
  </si>
  <si>
    <t>حلق جرار 3 مجري بدون بار كومبن</t>
  </si>
  <si>
    <t>ضلفة سلك كومبن صغيره</t>
  </si>
  <si>
    <t>سقاس سلك جرار</t>
  </si>
  <si>
    <t>سقاس جرار</t>
  </si>
  <si>
    <t>طقم كعب سقاس سلك</t>
  </si>
  <si>
    <t>طقم تجميع مليون جرار</t>
  </si>
  <si>
    <t>سبليونة جرار 160سم فورنكس</t>
  </si>
  <si>
    <t>طقم عجل دبل جرار</t>
  </si>
  <si>
    <t xml:space="preserve">مقبض ضلفة سلك مفصلي </t>
  </si>
  <si>
    <t>ضلفة سلك صغيره كومبن صغيره</t>
  </si>
  <si>
    <t xml:space="preserve">مقبض ضلفة سلك </t>
  </si>
  <si>
    <t>حديد ضلفة سلك كومبن</t>
  </si>
  <si>
    <t>حلق جرار 3 مجري  بار 3,8 كومبن</t>
  </si>
  <si>
    <t>حلق مفصلى بار 3,8</t>
  </si>
  <si>
    <t>كوبلن</t>
  </si>
  <si>
    <t xml:space="preserve">مقبض ضلفة سلك  </t>
  </si>
  <si>
    <t>حلق جرار 3 مجري  بار  3,8كومبن</t>
  </si>
  <si>
    <t>حلق جرار 3 مجري بار 6 كومبن</t>
  </si>
  <si>
    <t>حلق مفصلى بار 6 سم</t>
  </si>
  <si>
    <t>طبة + سكينة لضلفة جرار صغير كومبن</t>
  </si>
  <si>
    <t>حلق جرار 3 مجري زجاج بدون بار كومبن</t>
  </si>
  <si>
    <t>1,5</t>
  </si>
  <si>
    <t>حلق جرار 3 مجري  زجاج بدون بار كومبن</t>
  </si>
  <si>
    <t>بار كلبس</t>
  </si>
  <si>
    <t>تراك سلك لطش</t>
  </si>
  <si>
    <t xml:space="preserve">ضلفة سلك كومبن </t>
  </si>
  <si>
    <t>سبليونة جرار 160 سم فورنكس</t>
  </si>
  <si>
    <t>ضلفة سلك كومبن</t>
  </si>
  <si>
    <t>سقاس سلك</t>
  </si>
  <si>
    <t>تقابل 4 ضلفه</t>
  </si>
  <si>
    <t>تقابل سلك</t>
  </si>
  <si>
    <t>شباك كومبن جرار 4 ضلفه بدون بار ضلفة شباك</t>
  </si>
  <si>
    <t>شباك كومبن جرار 4 ضلفه  بدون بار ضلفة باب</t>
  </si>
  <si>
    <t>شباك كومبن جرار4 ضلفه بار 6 ضلفة شباك بسقاس</t>
  </si>
  <si>
    <t>حلق مفصلي ببرور 3,8سم كومبن</t>
  </si>
  <si>
    <t>حسب المقاسات طول العود 2.5متر</t>
  </si>
  <si>
    <t>ضلفة شباك مفصلي كومبن</t>
  </si>
  <si>
    <t>باكتة سنجل مفلصي كومبن / باكتة دبل مفصلى كومبن</t>
  </si>
  <si>
    <t>KP-W8W / KP-W9W</t>
  </si>
  <si>
    <t>مفصلة 10سم كومبن</t>
  </si>
  <si>
    <t xml:space="preserve">سكاك مفصلي ذامة (فورنا) 1 ضلفة </t>
  </si>
  <si>
    <t>سبليونة مفصلي 60سم فورنكس</t>
  </si>
  <si>
    <t>حلق مفصلي ببرور 6سم كومبن</t>
  </si>
  <si>
    <t>حلق مفصلي بدون بار كومبن</t>
  </si>
  <si>
    <t>ضلفة سلك ثابته</t>
  </si>
  <si>
    <t>حلق مفصلي ببرور 6 سم كومبن</t>
  </si>
  <si>
    <t>مقبض فاخر و غاطس</t>
  </si>
  <si>
    <t>ACC-HD4W /  ACC-HD11W</t>
  </si>
  <si>
    <t>ضلفة باب مفصلي كومبن</t>
  </si>
  <si>
    <t>حلق مفصلي ببرور 6 كومبن</t>
  </si>
  <si>
    <t>بوكلير</t>
  </si>
  <si>
    <t>طقم نهاية بوكلير 2 قطعة</t>
  </si>
  <si>
    <t xml:space="preserve">سكاك مفصلي ذامة (فورنا) 2 ضلفة </t>
  </si>
  <si>
    <t xml:space="preserve">سكاك ترباس لوكس فورنكس </t>
  </si>
  <si>
    <t>ترباس بوكلير فورنكس</t>
  </si>
  <si>
    <t>حديقي حلق مفصلى</t>
  </si>
  <si>
    <t>مقبض بارز</t>
  </si>
  <si>
    <t>دراع قلاب</t>
  </si>
  <si>
    <t>سبليونة مفصلي 30 سم فورنكس</t>
  </si>
  <si>
    <t>سقاس مفصلى</t>
  </si>
  <si>
    <t>طقم تجميع مليون مفصلى</t>
  </si>
  <si>
    <t>حلق مفصلى بدون بار كومبن</t>
  </si>
  <si>
    <t>سبليونة مفصلي 30سم فورنكس</t>
  </si>
  <si>
    <t>سبليونة مفصلي 160 سم فورنكس</t>
  </si>
  <si>
    <t>حلق مفصلي  بدون بار كومبن</t>
  </si>
  <si>
    <t>سبليونه مفصلى 60 سم فورنكس</t>
  </si>
  <si>
    <t>حلق مفصلي بدون  بار كومبن</t>
  </si>
  <si>
    <t>مجموعه مفصلى قلاب 2 ضلفه</t>
  </si>
  <si>
    <t>مجموعه مفصلى قلاب 1 ضلفه</t>
  </si>
  <si>
    <t>تجميع مليون مفصلي 2 قطعة</t>
  </si>
  <si>
    <t>حلق مفصلي بار  مقلوب كومبن</t>
  </si>
  <si>
    <t>مقبض اشاره رفيع / عريض</t>
  </si>
  <si>
    <t>كالون اشاره رفيع / عريض</t>
  </si>
  <si>
    <t>وش كالون كبير</t>
  </si>
  <si>
    <t>حلق مفصلي بار مقلوب كومبن</t>
  </si>
  <si>
    <t xml:space="preserve"> باكتة دبل مفصلى كومبن</t>
  </si>
  <si>
    <t>مفصلة 10سم كرافت لاين</t>
  </si>
  <si>
    <t>مقبض سلندر رفيع / عريض</t>
  </si>
  <si>
    <t>كالون سلندر رفيع / عريض</t>
  </si>
  <si>
    <t>سلندر 9 سم</t>
  </si>
  <si>
    <t>حلق مفصلي بار كومبن</t>
  </si>
  <si>
    <t>بانل 15 سم / زجاج</t>
  </si>
  <si>
    <t>KL310-WBW / ACC-PL-LZR</t>
  </si>
  <si>
    <t>سبليونه مالتى لوك رفيع / عريض</t>
  </si>
  <si>
    <t>ACC-SPK160R / ACC-NW-JW3</t>
  </si>
  <si>
    <t>سكاك مفصلى 1 ضلفه ذاما</t>
  </si>
  <si>
    <t>حلق جرار 3 مجري ببرور 5سم كرافت لاين</t>
  </si>
  <si>
    <t>تراك المونيوم كرافت لاين</t>
  </si>
  <si>
    <t>ضلفة جرار كرافت لاين</t>
  </si>
  <si>
    <t>طبة + سكينة لضلفة جرار كرافت لاين</t>
  </si>
  <si>
    <t>باكنة سنجل جرار كرافت لاين / باكتة دبل جرار كرافت لاين</t>
  </si>
  <si>
    <t>KL-S738 / KL-S737-WBW</t>
  </si>
  <si>
    <t>ضلفة سلك كرافت لاين</t>
  </si>
  <si>
    <t>حديد ضلفة سلك كرافت لاين</t>
  </si>
  <si>
    <t>حلق جرار 3 مجري بدون بار كرافت لاين</t>
  </si>
  <si>
    <t>حلق جرار 3 مجري  زجاج بدون بار كرافت لاين</t>
  </si>
  <si>
    <t>حلق جرار 3 مجري زجاج ببرور كلبس كرافت لاين</t>
  </si>
  <si>
    <t>ضلفة  جرار كرافت لاين</t>
  </si>
  <si>
    <t>طبة + سكينة لضلفة جرار  كرافت لاين</t>
  </si>
  <si>
    <t>حلق جرار 3 مجري زجاج بدون بار كرافت لاين</t>
  </si>
  <si>
    <t>سلك لطش</t>
  </si>
  <si>
    <t>طقم كعب سقاس سلك جرار</t>
  </si>
  <si>
    <t>حلق مفصلي ببرور 5سم كرافت لاين</t>
  </si>
  <si>
    <t>ضلفة شباك مفصلي كرافت لاين</t>
  </si>
  <si>
    <t>حسب المقاسات طول العود 2.5 متر</t>
  </si>
  <si>
    <t>باكتة سنجل مفلصي كرافت لاين / باكتة دبل مفصلى كرافت لاين</t>
  </si>
  <si>
    <t>KL618 / KL619</t>
  </si>
  <si>
    <t xml:space="preserve">مقبض بارز </t>
  </si>
  <si>
    <t>حلق مفصلي بدون بار كرافت لاين</t>
  </si>
  <si>
    <t xml:space="preserve">مقبض فاخر </t>
  </si>
  <si>
    <t>ACC-HD4W / ACC HD11W</t>
  </si>
  <si>
    <t>ضلفة باب مفصلي كرافت لاين</t>
  </si>
  <si>
    <t>طقم نهاية بوكلير</t>
  </si>
  <si>
    <t>ترباس بوكلير</t>
  </si>
  <si>
    <t>سكاك ترباس</t>
  </si>
  <si>
    <t>مقبض فاخر  و غاطس</t>
  </si>
  <si>
    <t>سبليونة مفصلي 60 سم فورنكس</t>
  </si>
  <si>
    <t>مجموعة مفصلى قلاب 2 ضلفه</t>
  </si>
  <si>
    <t>بلكونه مفصلى قلاب  كرافت لاين 2 ضلفه باب بدون بار بسقاس بدون سلك</t>
  </si>
  <si>
    <t>مجموعة مفصلى قلاب 1 ضلفه</t>
  </si>
  <si>
    <t>حلق مفصلي بار  مقلوب كرافت لاين</t>
  </si>
  <si>
    <t>بانل 15 سم</t>
  </si>
  <si>
    <t>حلق مفصلي بار مقلوب كرافت لاين</t>
  </si>
  <si>
    <t xml:space="preserve"> باكتة دبل مفصلى كرافت لاين</t>
  </si>
  <si>
    <t>حلق مفصلي بار كرافت لاين</t>
  </si>
  <si>
    <t>حلق جرار 3 مجري ببرور 5سم  نيو لاين</t>
  </si>
  <si>
    <t>تراك المونيوم  نيو لاين</t>
  </si>
  <si>
    <t>ضلفة شباك جرار  نيو لاين</t>
  </si>
  <si>
    <t>طبة + سكينة لضلفة جرار صغيرة  نيو لاين</t>
  </si>
  <si>
    <t>ضلفة سلك نيو لاين</t>
  </si>
  <si>
    <t>حديد ضلفة سلك  نيو لاين</t>
  </si>
  <si>
    <t>تراك المونيوم نيو لاين</t>
  </si>
  <si>
    <t>حديد ضلفة سلك نيو لاين</t>
  </si>
  <si>
    <t>حلق مفصلي ببرور 5سم نيو لاين</t>
  </si>
  <si>
    <t>حسب المقاسات طول العود 2.5</t>
  </si>
  <si>
    <t>ضلفة شباك مفصلي نيو لاين</t>
  </si>
  <si>
    <t>باكنة سنجل مفصلى كرافت لاين / باكتة دبل مفصلى كرافت لاين</t>
  </si>
  <si>
    <t>مفصلة 10سم نيو لاين</t>
  </si>
  <si>
    <t>ضلفة باب مفصلي نيو لاين</t>
  </si>
  <si>
    <t>سقاس مفصلى نيو لاين</t>
  </si>
  <si>
    <t>باب مفصلى 1 ضلفه بار مقلوب بدون عتب بانل + زجاج</t>
  </si>
  <si>
    <t>حلق مفصلي بار مقلوب نيو لاين</t>
  </si>
  <si>
    <t>مقبض اشاره رفيع</t>
  </si>
  <si>
    <t>كالون اشاره رفيع</t>
  </si>
  <si>
    <t>باكتة دبل مفصلى كرافت لاين</t>
  </si>
  <si>
    <t xml:space="preserve"> باكتة دبل مفصلى نيو لاين</t>
  </si>
  <si>
    <t>مقبض سلندر رفيع</t>
  </si>
  <si>
    <t>كالون سلندر رفيع</t>
  </si>
  <si>
    <t>حلق مفصلي بار نيو لاين</t>
  </si>
  <si>
    <t>سبليونه مالتى لوك رفيع</t>
  </si>
  <si>
    <t>بوكس 16.5 سم (أبيض) (علبه + غطاء) / بوكس 18 سم (أبيض) (علبه + غطاء) / بوكس 20.5 سم (أبيض) (علبه + غطاء) / بوكس 25 سم (أبيض) (علبه + غطاء) / بوكس 30 سم (أبيض) (علبه + غطاء)</t>
  </si>
  <si>
    <t>SHUT-BOX-01 / SHUT-BOX-03 / SHUT-BOX-05 / SHUT-BOX-07 / SHUT-BOX-09</t>
  </si>
  <si>
    <t>محور طمبوره 6 سم / محور طمبوره 7 سم</t>
  </si>
  <si>
    <t>SHUT-ACC-07 / SHUT-ACC-08</t>
  </si>
  <si>
    <t>خد صندوق شاتر 16.5 سم (أبيض) / خد صندوق شاتر 18 سم (أبيض) / خد صندوق شاتر 20.5 سم (أبيض) / خد صندوق شاتر 25 سم (أبيض) / خد صندوق شاتر 30 سم (أبيض)</t>
  </si>
  <si>
    <t>SHUT-CHEEK-01 / SHUT-CHEEK-03 / SHUT-CHEEK-05 / SHUT-CHEEK-07 / SHUT-CHEEK-09</t>
  </si>
  <si>
    <t>حسب عدد الشرايح</t>
  </si>
  <si>
    <t>حسب طول المجرى و الشريحه</t>
  </si>
  <si>
    <t>كوباية شفط إيطالي + بلية كوباية شفط</t>
  </si>
  <si>
    <t>ACC-SH-05 / ACC-SH-07</t>
  </si>
  <si>
    <t>قاعدة رولمان ببنز قياس 20.5 / قاعدة رولمان ببنز قياس 25 - 30</t>
  </si>
  <si>
    <t>ACC-SH-11 / ACC-SH-12</t>
  </si>
  <si>
    <t>علاقة شاتر سم (5.6 سم) / علاقة شاتر سم (4.5 سم)</t>
  </si>
  <si>
    <t>حسب مساحة الفتحه</t>
  </si>
  <si>
    <t>ACC-SH-17 / ACC-SH-16</t>
  </si>
  <si>
    <t>رسيفر كيروبيني ( أبيض ) / ريسفر جراج أبيض</t>
  </si>
  <si>
    <t>MOT-IT-38 / MOT-TR-35</t>
  </si>
  <si>
    <t>ريموت جيرو 1 قناه / ريموت جيرو متعدد / ريموت 1 قناة تركي / ريموت 5 قناة تركي</t>
  </si>
  <si>
    <t>MOT-IT-45 / MOT-IT-46 / MOT-TR-31 / MOT-TR-32</t>
  </si>
  <si>
    <t>جرار كرافت لاين 2 ضلفه</t>
  </si>
  <si>
    <t>عرض الفتحة</t>
  </si>
  <si>
    <t>ارتفاع الفتحة</t>
  </si>
  <si>
    <t>ضلفة</t>
  </si>
  <si>
    <t>عرض الضلفة</t>
  </si>
  <si>
    <t xml:space="preserve">زيادة علي عرض الفتحة 2سم والقسمة علي 2 </t>
  </si>
  <si>
    <t>ارتفاع الضلفة</t>
  </si>
  <si>
    <t xml:space="preserve">خصم 7,5سم من الارتفاع الفعلي للفتحة </t>
  </si>
  <si>
    <t xml:space="preserve">ضلفة السلك </t>
  </si>
  <si>
    <t>عرض ضلفة السلك</t>
  </si>
  <si>
    <t xml:space="preserve">نفس عرض الضلفة </t>
  </si>
  <si>
    <t>ارتفاع ضلفة السلك</t>
  </si>
  <si>
    <t>زيادة 2سم علي ارتفاع الضلفة</t>
  </si>
  <si>
    <t>تخصيم الزجاج</t>
  </si>
  <si>
    <t>عرض اللوح</t>
  </si>
  <si>
    <t xml:space="preserve">يتم خصم 15سم من عرض الضلفة </t>
  </si>
  <si>
    <t>ارتفاع اللوح</t>
  </si>
  <si>
    <t xml:space="preserve">يتم خصم 15سم من ارتفاع الضلفة </t>
  </si>
  <si>
    <t>جرار كرافت لاين 3 ضلفه</t>
  </si>
  <si>
    <t>زياده 11.2 وقسمه على 3</t>
  </si>
  <si>
    <t xml:space="preserve">زيادة 2 سم فى عرض الضلفة </t>
  </si>
  <si>
    <t>زيادة 4 سم علي ارتفاع الضلفة</t>
  </si>
  <si>
    <t>جرار كرافت لاين 4 ضلفه</t>
  </si>
  <si>
    <t xml:space="preserve">زيادة علي عرض الفتحة 11 سم والقسمة علي 4 </t>
  </si>
  <si>
    <t>مفصلي كرافت لاين واحد ضلفة</t>
  </si>
  <si>
    <t>خصم 6سم من عرض الفتحة</t>
  </si>
  <si>
    <t>خصم 6سم من ارتفاع الفتحة</t>
  </si>
  <si>
    <t xml:space="preserve">يتم خصم 13سم من عرض الضلفة </t>
  </si>
  <si>
    <t xml:space="preserve">يتم خصم 13سم من ارتفاع الضلفة </t>
  </si>
  <si>
    <t>في حالة البنده</t>
  </si>
  <si>
    <t xml:space="preserve">مقاس البندة </t>
  </si>
  <si>
    <t>عرض البنده</t>
  </si>
  <si>
    <t xml:space="preserve">يتم خصم 10.5سم من عرض الضلفة </t>
  </si>
  <si>
    <t>ارتفاع البنده</t>
  </si>
  <si>
    <t xml:space="preserve">يتم خصم 10,5سم من ارتفاع الضلفة </t>
  </si>
  <si>
    <t xml:space="preserve">السلك الثابت لايحسب </t>
  </si>
  <si>
    <t>البليسية يتم تصنيعه خارجيا لاستخراج مقاسته يتم خصم 1سم من الارتفاع و العرض</t>
  </si>
  <si>
    <t xml:space="preserve">مفصلي كرافت لاين اتنين ضلفه شباك </t>
  </si>
  <si>
    <t>ضلفة واحد</t>
  </si>
  <si>
    <t>خصم 6سم من عرض الفتحة و القسمه على 2</t>
  </si>
  <si>
    <t xml:space="preserve">من أول ارتفاع 70سم لحد ارتفاع 150سم </t>
  </si>
  <si>
    <t xml:space="preserve">يضاف للبندة مقبض واحد فاخر و 2 مقبض دفن </t>
  </si>
  <si>
    <t xml:space="preserve">عدد اربع سكاك واحد ضلفة مفصلي </t>
  </si>
  <si>
    <t xml:space="preserve">مفصلي كرافت لاين اتنين ضلفه باب </t>
  </si>
  <si>
    <t xml:space="preserve">يتم خصم 18 سم من عرض الضلفة </t>
  </si>
  <si>
    <t xml:space="preserve">يتم خصم 18 سم من ارتفاع الضلفة </t>
  </si>
  <si>
    <t xml:space="preserve">يتم خصم 15.5 سم من عرض الضلفة </t>
  </si>
  <si>
    <t xml:space="preserve">يتم خصم 15.5 سم من ارتفاع الضلفة </t>
  </si>
  <si>
    <t>قلاب كرافت لاين شفاط 20 سم</t>
  </si>
  <si>
    <t>خصم 34 سم من ارتفاع الفتحة</t>
  </si>
  <si>
    <t>زجاج الثابت</t>
  </si>
  <si>
    <t>قلاب كرافت لاين بشفاط 25 سم</t>
  </si>
  <si>
    <t>خصم 39 من ارتفاع الفتحة</t>
  </si>
  <si>
    <t>خصم 41.5 من عرض الحلق</t>
  </si>
  <si>
    <t>قلاب كرافت لاين بشفاط 30 سم</t>
  </si>
  <si>
    <t>خصم 6 سم من عرض الفتحة</t>
  </si>
  <si>
    <t>خصم 44 سم من ارتفاع الفتحة</t>
  </si>
  <si>
    <t>يتم خصم 46.5 سم من مقاس الحلق</t>
  </si>
  <si>
    <t>قلاب كرافت لاين واحد ضلفه بدون ثابت</t>
  </si>
  <si>
    <t>جرار كومبن ضلفة شباك 2 ضلفه</t>
  </si>
  <si>
    <t xml:space="preserve">زيادة علي عرض الفتحة 0,5سم والقسمة علي 2 </t>
  </si>
  <si>
    <t>جرار كومبن ضلفة شباك 3 ضلفه</t>
  </si>
  <si>
    <t xml:space="preserve">زيادة علي عرض الفتحة 8.2 سم والقسمة علي 3 </t>
  </si>
  <si>
    <t>زيادة 2 سم عن الضلفه</t>
  </si>
  <si>
    <t>جرار كومبن ضلفة شباك 4 ضلفه</t>
  </si>
  <si>
    <t xml:space="preserve">زيادة علي عرض الفتحة 8 سم والقسمة علي 4 </t>
  </si>
  <si>
    <t>جرار كومبن ضلفة باب 2 ضلفه</t>
  </si>
  <si>
    <t xml:space="preserve">زيادة علي عرض الفتحة 2 سم والقسمة علي 2 </t>
  </si>
  <si>
    <t xml:space="preserve">يتم خصم 17 من عرض الضلفة </t>
  </si>
  <si>
    <t>جرار كومبن ضلفة باب 3 ضلفه</t>
  </si>
  <si>
    <t xml:space="preserve">زيادة علي عرض الفتحة 11.2 سم والقسمة علي 3 </t>
  </si>
  <si>
    <t>زيادة عن ضلفة الزجاج 2 سم</t>
  </si>
  <si>
    <t xml:space="preserve">يتم خصم 17 سم من عرض الضلفة </t>
  </si>
  <si>
    <t>جرار كومبن ضلفة باب 4 ضلفه</t>
  </si>
  <si>
    <t xml:space="preserve">زيادة علي عرض الفتحة 11 والقسمة علي 4 </t>
  </si>
  <si>
    <t>مفصلي  كومبن واحد ضلفة شباك بدون بار</t>
  </si>
  <si>
    <t>خصم 7سم من عرض الفتحة</t>
  </si>
  <si>
    <t>خصم 7 سم من ارتفاع الفتحة</t>
  </si>
  <si>
    <t>مفصلي  كومبن واحد ضلفة شباك بار 3.8 سم</t>
  </si>
  <si>
    <t>خصم 4,5سم من عرض الفتحة</t>
  </si>
  <si>
    <t>خصم 4,5سم من ارتفاع الفتحة</t>
  </si>
  <si>
    <t>مفصلي  كومبن واحد ضلفة شباك بار 6 سم</t>
  </si>
  <si>
    <t>خصم 5 سم من عرض الفتحة</t>
  </si>
  <si>
    <t>مفصلي كومبن اتنين  ضلفة شباك بدون بار</t>
  </si>
  <si>
    <t>خصم 7 سم من عرض الفتحة والقسمة علي 2</t>
  </si>
  <si>
    <t>مفصلي كومبن اتنين  ضلفة شباك بار 3.8 سم</t>
  </si>
  <si>
    <t>خصم 5سم من عرض الفتحة والقسمة علي 2</t>
  </si>
  <si>
    <t>مفصلي كومبن اتنين  ضلفة شباك بار 6 سم</t>
  </si>
  <si>
    <t>خصم 5.5 سم من عرض الفتحة والقسمة علي 2</t>
  </si>
  <si>
    <t>خصم 5 سم من ارتفاع الفتحة</t>
  </si>
  <si>
    <t>مفصلي  كومبن واحد ضلفة باب بدون بار</t>
  </si>
  <si>
    <t>مفصلي  كومبن واحد ضلفة باب بار 3.8 سم</t>
  </si>
  <si>
    <t>مفصلي  كومبن واحد ضلفة باب بار 6 سم</t>
  </si>
  <si>
    <t>مفصلي كومبن اتنين  ضلفة باب بدون بار</t>
  </si>
  <si>
    <t>ضلفة اثنين</t>
  </si>
  <si>
    <t>مفصلي كومبن اتنين  ضلفة باب بار 3.8 سم</t>
  </si>
  <si>
    <t>مفصلي كومبن اتنين  ضلفة باب بار 6 سم</t>
  </si>
  <si>
    <t>قلاب كومبن  بار 3.8 سم شفاط 20 سم</t>
  </si>
  <si>
    <t>خصم 4.5سم من عرض الفتحة</t>
  </si>
  <si>
    <t>خصم 33 سم من ارتفاع الفتحة</t>
  </si>
  <si>
    <t>خصم 35.5 سم من عرض الحلق</t>
  </si>
  <si>
    <t>قلاب كومبن  بار 3.8 سم شفاط 25 سم</t>
  </si>
  <si>
    <t>خصم 38 سم من ارتفاع الفتحة</t>
  </si>
  <si>
    <t>خصم 40.5 سم من عرض الحلق</t>
  </si>
  <si>
    <t>قلاب كومبن  بار 3.8 شفاط 30 سم</t>
  </si>
  <si>
    <t>خصم 43 سم من ارتفاع الفتحة</t>
  </si>
  <si>
    <t>خصم 45.5 سم من عرض الحلق</t>
  </si>
  <si>
    <t>قلاب كومبن بار 6 شفاط 20 سم</t>
  </si>
  <si>
    <t>قلاب كومبن بار 6 سم شفاط 25 سم</t>
  </si>
  <si>
    <t>قلاب كومبن بار 6 سم شفاط 30 سم</t>
  </si>
  <si>
    <t>جرار نيو لاين 2 ضلفه</t>
  </si>
  <si>
    <t xml:space="preserve">زيادة علي عرض الفتحة 3 سم والقسمة علي 2 </t>
  </si>
  <si>
    <t xml:space="preserve">خصم 6.5 سم من الارتفاع الفعلي للفتحة </t>
  </si>
  <si>
    <t>جرار نيو لاين 4 ضلفه</t>
  </si>
  <si>
    <t xml:space="preserve">زيادة علي عرض الفتحة 10 سم والقسمة علي 4 </t>
  </si>
  <si>
    <t>مفصلي  نيولاين واحد ضلفة</t>
  </si>
  <si>
    <t xml:space="preserve">يتم خصم 11.5 سم من عرض الضلفة </t>
  </si>
  <si>
    <t>مفصلي نيولاين اتنين  ضلفة</t>
  </si>
  <si>
    <t>قلاب نيو لاين شفاط 20 سم</t>
  </si>
  <si>
    <t>قلاب نيو لاين بشفاط 25 سم</t>
  </si>
  <si>
    <t>قلاب نيو لاين بشفاط 30 سم</t>
  </si>
  <si>
    <t>شاتر</t>
  </si>
  <si>
    <t>شاتر 5 سم ايطالى</t>
  </si>
  <si>
    <t>عرض البوكس</t>
  </si>
  <si>
    <t>عرض الفتحه - 1 سم</t>
  </si>
  <si>
    <t>ارتفاع المجرى</t>
  </si>
  <si>
    <t>ارتفاع الفتحه - نص مقاس البوكس</t>
  </si>
  <si>
    <t>عرض الشرايح</t>
  </si>
  <si>
    <t>عرض الفتحه - 12 سم</t>
  </si>
  <si>
    <t>عرض النهايه</t>
  </si>
  <si>
    <t>نفس عرض الشريحه</t>
  </si>
  <si>
    <t>عرض الطمبوره</t>
  </si>
  <si>
    <t>عرض الفتحه - 10 سم</t>
  </si>
  <si>
    <t>عدد علاقات</t>
  </si>
  <si>
    <t>عرض الفتحه / 50</t>
  </si>
  <si>
    <t>عدد الحباسات</t>
  </si>
  <si>
    <t>نفس عدد الشرايح</t>
  </si>
  <si>
    <t>مقاس البوكس</t>
  </si>
  <si>
    <t>حسب ارتفاع الفتحه</t>
  </si>
  <si>
    <t>مقاس الخد</t>
  </si>
  <si>
    <t>نفس مقاس البوكس</t>
  </si>
  <si>
    <t>قدرة الموتور</t>
  </si>
  <si>
    <r>
      <rPr>
        <sz val="12"/>
        <color theme="1"/>
        <rFont val="Calibri"/>
        <charset val="1"/>
      </rPr>
      <t>(</t>
    </r>
    <r>
      <rPr>
        <sz val="12"/>
        <color theme="1"/>
        <rFont val="FreeSans"/>
        <family val="2"/>
      </rPr>
      <t xml:space="preserve">مساحة الفتحه </t>
    </r>
    <r>
      <rPr>
        <sz val="12"/>
        <color theme="1"/>
        <rFont val="Calibri"/>
        <charset val="1"/>
      </rPr>
      <t>/ 299 ) * 10</t>
    </r>
  </si>
  <si>
    <t>عدد الشرايح</t>
  </si>
  <si>
    <t>ارتفاع الفتحه / 5</t>
  </si>
  <si>
    <t>شاتر 5.5 سم ايطالى</t>
  </si>
  <si>
    <t>ارتفاع الفتحه / 5.5</t>
  </si>
  <si>
    <t>شاتر 5 سم اسبانى</t>
  </si>
  <si>
    <t>شاتر 5.5 سم اسبانى</t>
  </si>
  <si>
    <t>شاتر  زنكنيوم 5.5 سم ايطالى</t>
  </si>
  <si>
    <t>عرض الفتحه /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</si>
</sst>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charset val="1"/>
    </font>
    <font>
      <sz val="11"/>
      <color theme="1"/>
      <name val="FreeSans"/>
      <family val="2"/>
      <charset val="1"/>
    </font>
    <font>
      <sz val="11"/>
      <color theme="1"/>
      <name val="FreeSans"/>
      <family val="2"/>
    </font>
    <font>
      <b/>
      <sz val="12"/>
      <color theme="0"/>
      <name val="FreeSans"/>
      <family val="2"/>
      <charset val="1"/>
    </font>
    <font>
      <b/>
      <sz val="12"/>
      <color theme="0"/>
      <name val="Calibri"/>
      <charset val="1"/>
    </font>
    <font>
      <b/>
      <sz val="11"/>
      <color theme="0"/>
      <name val="FreeSans"/>
      <family val="2"/>
      <charset val="1"/>
    </font>
    <font>
      <sz val="11"/>
      <color theme="0"/>
      <name val="Calibri"/>
      <charset val="1"/>
    </font>
    <font>
      <b/>
      <sz val="12"/>
      <color theme="1"/>
      <name val="FreeSans"/>
      <family val="2"/>
      <charset val="1"/>
    </font>
    <font>
      <b/>
      <sz val="12"/>
      <color theme="1"/>
      <name val="Calibri"/>
      <charset val="1"/>
    </font>
    <font>
      <sz val="14"/>
      <color theme="1"/>
      <name val="Calibri"/>
      <charset val="1"/>
    </font>
    <font>
      <b/>
      <sz val="16"/>
      <color theme="0"/>
      <name val="FreeSans"/>
      <family val="2"/>
      <charset val="1"/>
    </font>
    <font>
      <sz val="12"/>
      <color theme="1"/>
      <name val="Calibri"/>
      <charset val="1"/>
    </font>
    <font>
      <sz val="12"/>
      <color theme="0"/>
      <name val="Calibri"/>
      <charset val="1"/>
    </font>
    <font>
      <sz val="12"/>
      <color theme="1"/>
      <name val="FreeSans"/>
      <family val="2"/>
      <charset val="1"/>
    </font>
    <font>
      <b/>
      <sz val="16"/>
      <color rgb="FF002060"/>
      <name val="Calibri"/>
      <charset val="1"/>
    </font>
    <font>
      <b/>
      <sz val="12"/>
      <color rgb="FF34F400"/>
      <name val="Calibri"/>
      <charset val="1"/>
    </font>
    <font>
      <sz val="14"/>
      <color theme="1"/>
      <name val="FreeSans"/>
      <family val="2"/>
      <charset val="1"/>
    </font>
    <font>
      <b/>
      <sz val="16"/>
      <color rgb="FF34F400"/>
      <name val="Calibri"/>
      <charset val="1"/>
    </font>
    <font>
      <b/>
      <sz val="26"/>
      <color theme="1"/>
      <name val="FreeSans"/>
      <family val="2"/>
      <charset val="1"/>
    </font>
    <font>
      <sz val="12"/>
      <color theme="1"/>
      <name val="FreeSans"/>
      <family val="2"/>
    </font>
  </fonts>
  <fills count="8">
    <fill>
      <patternFill patternType="none"/>
    </fill>
    <fill>
      <patternFill patternType="gray125"/>
    </fill>
    <fill>
      <patternFill patternType="solid">
        <fgColor rgb="FF333F4F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F4F"/>
      </patternFill>
    </fill>
    <fill>
      <patternFill patternType="solid">
        <fgColor rgb="FFFF0000"/>
        <bgColor rgb="FF993300"/>
      </patternFill>
    </fill>
    <fill>
      <patternFill patternType="solid">
        <fgColor theme="1"/>
        <bgColor rgb="FF003300"/>
      </patternFill>
    </fill>
    <fill>
      <patternFill patternType="solid">
        <fgColor rgb="FFBFBFBF"/>
        <bgColor rgb="FFCCCCFF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8" fillId="3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7" fillId="7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" fontId="14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34F4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E4E7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F4F"/>
      <rgbColor rgb="FF993300"/>
      <rgbColor rgb="FF993366"/>
      <rgbColor rgb="FF1F3864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rightToLeft="1" zoomScaleNormal="100" workbookViewId="0"/>
  </sheetViews>
  <sheetFormatPr defaultColWidth="14.44140625" defaultRowHeight="14.4"/>
  <cols>
    <col min="1" max="1" width="39.5546875" customWidth="1"/>
    <col min="2" max="2" width="18.88671875" customWidth="1"/>
    <col min="3" max="3" width="15.88671875" customWidth="1"/>
    <col min="4" max="6" width="9.109375" hidden="1" customWidth="1"/>
    <col min="7" max="26" width="8.6640625" customWidth="1"/>
  </cols>
  <sheetData>
    <row r="1" spans="1:26" ht="23.25" customHeight="1">
      <c r="A1" s="11" t="s">
        <v>0</v>
      </c>
      <c r="B1" s="12" t="s">
        <v>1</v>
      </c>
      <c r="C1" s="13" t="s">
        <v>2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3.25" customHeight="1">
      <c r="A2" s="15" t="s">
        <v>3</v>
      </c>
      <c r="B2" s="15" t="s">
        <v>4</v>
      </c>
      <c r="C2" s="14" t="s">
        <v>5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3.25" customHeight="1">
      <c r="A3" s="15" t="s">
        <v>6</v>
      </c>
      <c r="B3" s="15" t="s">
        <v>4</v>
      </c>
      <c r="C3" s="14" t="s">
        <v>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3.25" customHeight="1">
      <c r="A4" s="15" t="s">
        <v>8</v>
      </c>
      <c r="B4" s="15" t="s">
        <v>4</v>
      </c>
      <c r="C4" s="14" t="s">
        <v>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3.25" customHeight="1">
      <c r="A5" s="15" t="s">
        <v>10</v>
      </c>
      <c r="B5" s="15" t="s">
        <v>4</v>
      </c>
      <c r="C5" s="14" t="s">
        <v>11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3.25" customHeight="1">
      <c r="A6" s="15" t="s">
        <v>12</v>
      </c>
      <c r="B6" s="15" t="s">
        <v>4</v>
      </c>
      <c r="C6" s="14" t="s">
        <v>13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3.25" customHeight="1">
      <c r="A7" s="15" t="s">
        <v>14</v>
      </c>
      <c r="B7" s="15" t="s">
        <v>4</v>
      </c>
      <c r="C7" s="14" t="s">
        <v>15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3.25" customHeight="1">
      <c r="A8" s="15" t="s">
        <v>16</v>
      </c>
      <c r="B8" s="15" t="s">
        <v>4</v>
      </c>
      <c r="C8" s="14" t="s">
        <v>17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3.25" customHeight="1">
      <c r="A9" s="15" t="s">
        <v>18</v>
      </c>
      <c r="B9" s="15" t="s">
        <v>4</v>
      </c>
      <c r="C9" s="14" t="s">
        <v>19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3.25" customHeight="1">
      <c r="A10" s="15" t="s">
        <v>20</v>
      </c>
      <c r="B10" s="15" t="s">
        <v>4</v>
      </c>
      <c r="C10" s="14" t="s">
        <v>21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3.25" customHeight="1">
      <c r="A11" s="15" t="s">
        <v>22</v>
      </c>
      <c r="B11" s="15" t="s">
        <v>4</v>
      </c>
      <c r="C11" s="14" t="s">
        <v>23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3.25" customHeight="1">
      <c r="A12" s="15" t="s">
        <v>24</v>
      </c>
      <c r="B12" s="15" t="s">
        <v>4</v>
      </c>
      <c r="C12" s="14" t="s">
        <v>25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3.25" customHeight="1">
      <c r="A13" s="15" t="s">
        <v>26</v>
      </c>
      <c r="B13" s="15" t="s">
        <v>27</v>
      </c>
      <c r="C13" s="14" t="s">
        <v>28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3.25" customHeight="1">
      <c r="A14" s="15" t="s">
        <v>29</v>
      </c>
      <c r="B14" s="15" t="s">
        <v>27</v>
      </c>
      <c r="C14" s="14" t="s">
        <v>30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3.25" customHeight="1">
      <c r="A15" s="15" t="s">
        <v>31</v>
      </c>
      <c r="B15" s="15" t="s">
        <v>27</v>
      </c>
      <c r="C15" s="14" t="s">
        <v>32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3.25" customHeight="1">
      <c r="A16" s="15" t="s">
        <v>33</v>
      </c>
      <c r="B16" s="15" t="s">
        <v>27</v>
      </c>
      <c r="C16" s="14" t="s">
        <v>34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3.25" customHeight="1">
      <c r="A17" s="15" t="s">
        <v>35</v>
      </c>
      <c r="B17" s="15" t="s">
        <v>27</v>
      </c>
      <c r="C17" s="14" t="s">
        <v>36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3.25" customHeight="1">
      <c r="A18" s="15" t="s">
        <v>37</v>
      </c>
      <c r="B18" s="15" t="s">
        <v>27</v>
      </c>
      <c r="C18" s="14" t="s">
        <v>38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3.25" customHeight="1">
      <c r="A19" s="15" t="s">
        <v>39</v>
      </c>
      <c r="B19" s="15" t="s">
        <v>27</v>
      </c>
      <c r="C19" s="14" t="s">
        <v>40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3.25" customHeight="1">
      <c r="A20" s="15" t="s">
        <v>41</v>
      </c>
      <c r="B20" s="15" t="s">
        <v>27</v>
      </c>
      <c r="C20" s="14" t="s">
        <v>42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3.25" customHeight="1">
      <c r="A21" s="15" t="s">
        <v>43</v>
      </c>
      <c r="B21" s="15" t="s">
        <v>27</v>
      </c>
      <c r="C21" s="14" t="s">
        <v>44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3.25" customHeight="1">
      <c r="A22" s="15" t="s">
        <v>45</v>
      </c>
      <c r="B22" s="15" t="s">
        <v>27</v>
      </c>
      <c r="C22" s="14" t="s">
        <v>46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3.25" customHeight="1">
      <c r="A23" s="15" t="s">
        <v>47</v>
      </c>
      <c r="B23" s="15" t="s">
        <v>27</v>
      </c>
      <c r="C23" s="14" t="s">
        <v>48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3.25" customHeight="1">
      <c r="A24" s="15" t="s">
        <v>49</v>
      </c>
      <c r="B24" s="15" t="s">
        <v>4</v>
      </c>
      <c r="C24" s="14" t="s">
        <v>50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3.25" customHeight="1">
      <c r="A25" s="15" t="s">
        <v>51</v>
      </c>
      <c r="B25" s="15" t="s">
        <v>4</v>
      </c>
      <c r="C25" s="14" t="s">
        <v>52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3.25" customHeight="1">
      <c r="A26" s="15" t="s">
        <v>53</v>
      </c>
      <c r="B26" s="15" t="s">
        <v>4</v>
      </c>
      <c r="C26" s="14" t="s">
        <v>54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3.25" customHeight="1">
      <c r="A27" s="15" t="s">
        <v>55</v>
      </c>
      <c r="B27" s="15" t="s">
        <v>4</v>
      </c>
      <c r="C27" s="14" t="s">
        <v>56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3.25" customHeight="1">
      <c r="A28" s="15" t="s">
        <v>57</v>
      </c>
      <c r="B28" s="15" t="s">
        <v>4</v>
      </c>
      <c r="C28" s="14" t="s">
        <v>58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3.25" customHeight="1">
      <c r="A29" s="15" t="s">
        <v>59</v>
      </c>
      <c r="B29" s="15" t="s">
        <v>4</v>
      </c>
      <c r="C29" s="14" t="s">
        <v>60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3.25" customHeight="1">
      <c r="A30" s="15" t="s">
        <v>61</v>
      </c>
      <c r="B30" s="15" t="s">
        <v>4</v>
      </c>
      <c r="C30" s="14" t="s">
        <v>62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3.25" customHeight="1">
      <c r="A31" s="15" t="s">
        <v>63</v>
      </c>
      <c r="B31" s="15" t="s">
        <v>4</v>
      </c>
      <c r="C31" s="14" t="s">
        <v>64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3.25" customHeight="1">
      <c r="A32" s="15" t="s">
        <v>65</v>
      </c>
      <c r="B32" s="15" t="s">
        <v>4</v>
      </c>
      <c r="C32" s="14" t="s">
        <v>66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23.25" customHeight="1">
      <c r="A33" s="15" t="s">
        <v>67</v>
      </c>
      <c r="B33" s="15" t="s">
        <v>4</v>
      </c>
      <c r="C33" s="14" t="s">
        <v>68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23.25" customHeight="1">
      <c r="A34" s="15" t="s">
        <v>69</v>
      </c>
      <c r="B34" s="15" t="s">
        <v>4</v>
      </c>
      <c r="C34" s="14" t="s">
        <v>70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23.25" customHeight="1">
      <c r="A35" s="15" t="s">
        <v>71</v>
      </c>
      <c r="B35" s="15" t="s">
        <v>27</v>
      </c>
      <c r="C35" s="14" t="s">
        <v>72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23.25" customHeight="1">
      <c r="A36" s="15" t="s">
        <v>73</v>
      </c>
      <c r="B36" s="15" t="s">
        <v>27</v>
      </c>
      <c r="C36" s="14" t="s">
        <v>74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23.25" customHeight="1">
      <c r="A37" s="15" t="s">
        <v>75</v>
      </c>
      <c r="B37" s="15" t="s">
        <v>27</v>
      </c>
      <c r="C37" s="14" t="s">
        <v>76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23.25" customHeight="1">
      <c r="A38" s="15" t="s">
        <v>77</v>
      </c>
      <c r="B38" s="15" t="s">
        <v>27</v>
      </c>
      <c r="C38" s="14" t="s">
        <v>78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23.25" customHeight="1">
      <c r="A39" s="15" t="s">
        <v>79</v>
      </c>
      <c r="B39" s="15" t="s">
        <v>27</v>
      </c>
      <c r="C39" s="14" t="s">
        <v>80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23.25" customHeight="1">
      <c r="A40" s="15" t="s">
        <v>81</v>
      </c>
      <c r="B40" s="15" t="s">
        <v>27</v>
      </c>
      <c r="C40" s="14" t="s">
        <v>82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23.25" customHeight="1">
      <c r="A41" s="15" t="s">
        <v>83</v>
      </c>
      <c r="B41" s="15" t="s">
        <v>27</v>
      </c>
      <c r="C41" s="14" t="s">
        <v>84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23.25" customHeight="1">
      <c r="A42" s="15" t="s">
        <v>85</v>
      </c>
      <c r="B42" s="15" t="s">
        <v>27</v>
      </c>
      <c r="C42" s="14" t="s">
        <v>86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23.25" customHeight="1">
      <c r="A43" s="15" t="s">
        <v>87</v>
      </c>
      <c r="B43" s="15" t="s">
        <v>27</v>
      </c>
      <c r="C43" s="14" t="s">
        <v>88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3.25" customHeight="1">
      <c r="A44" s="15" t="s">
        <v>89</v>
      </c>
      <c r="B44" s="15" t="s">
        <v>27</v>
      </c>
      <c r="C44" s="14" t="s">
        <v>90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3.25" customHeight="1">
      <c r="A45" s="15" t="s">
        <v>91</v>
      </c>
      <c r="B45" s="15" t="s">
        <v>27</v>
      </c>
      <c r="C45" s="14" t="s">
        <v>92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23.25" customHeight="1">
      <c r="A46" s="15" t="s">
        <v>93</v>
      </c>
      <c r="B46" s="15" t="s">
        <v>4</v>
      </c>
      <c r="C46" s="14" t="s">
        <v>94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23.25" customHeight="1">
      <c r="A47" s="15" t="s">
        <v>95</v>
      </c>
      <c r="B47" s="15" t="s">
        <v>4</v>
      </c>
      <c r="C47" s="14" t="s">
        <v>96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3.25" customHeight="1">
      <c r="A48" s="15" t="s">
        <v>97</v>
      </c>
      <c r="B48" s="15" t="s">
        <v>4</v>
      </c>
      <c r="C48" s="14" t="s">
        <v>98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23.25" customHeight="1">
      <c r="A49" s="15" t="s">
        <v>99</v>
      </c>
      <c r="B49" s="15" t="s">
        <v>4</v>
      </c>
      <c r="C49" s="14" t="s">
        <v>100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23.25" customHeight="1">
      <c r="A50" s="15" t="s">
        <v>101</v>
      </c>
      <c r="B50" s="15" t="s">
        <v>4</v>
      </c>
      <c r="C50" s="14" t="s">
        <v>102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23.25" customHeight="1">
      <c r="A51" s="15" t="s">
        <v>103</v>
      </c>
      <c r="B51" s="15" t="s">
        <v>4</v>
      </c>
      <c r="C51" s="14" t="s">
        <v>104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23.25" customHeight="1">
      <c r="A52" s="15" t="s">
        <v>105</v>
      </c>
      <c r="B52" s="15" t="s">
        <v>4</v>
      </c>
      <c r="C52" s="14" t="s">
        <v>106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23.25" customHeight="1">
      <c r="A53" s="15" t="s">
        <v>107</v>
      </c>
      <c r="B53" s="15" t="s">
        <v>4</v>
      </c>
      <c r="C53" s="14" t="s">
        <v>108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23.25" customHeight="1">
      <c r="A54" s="15" t="s">
        <v>109</v>
      </c>
      <c r="B54" s="15" t="s">
        <v>4</v>
      </c>
      <c r="C54" s="14" t="s">
        <v>110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23.25" customHeight="1">
      <c r="A55" s="15" t="s">
        <v>111</v>
      </c>
      <c r="B55" s="15" t="s">
        <v>4</v>
      </c>
      <c r="C55" s="14" t="s">
        <v>112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23.25" customHeight="1">
      <c r="A56" s="15" t="s">
        <v>113</v>
      </c>
      <c r="B56" s="15" t="s">
        <v>4</v>
      </c>
      <c r="C56" s="14" t="s">
        <v>114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23.25" customHeight="1">
      <c r="A57" s="15" t="s">
        <v>115</v>
      </c>
      <c r="B57" s="15" t="s">
        <v>27</v>
      </c>
      <c r="C57" s="14" t="s">
        <v>116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23.25" customHeight="1">
      <c r="A58" s="15" t="s">
        <v>117</v>
      </c>
      <c r="B58" s="15" t="s">
        <v>27</v>
      </c>
      <c r="C58" s="14" t="s">
        <v>118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23.25" customHeight="1">
      <c r="A59" s="15" t="s">
        <v>119</v>
      </c>
      <c r="B59" s="15" t="s">
        <v>27</v>
      </c>
      <c r="C59" s="14" t="s">
        <v>120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23.25" customHeight="1">
      <c r="A60" s="15" t="s">
        <v>121</v>
      </c>
      <c r="B60" s="15" t="s">
        <v>27</v>
      </c>
      <c r="C60" s="14" t="s">
        <v>122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23.25" customHeight="1">
      <c r="A61" s="15" t="s">
        <v>123</v>
      </c>
      <c r="B61" s="15" t="s">
        <v>27</v>
      </c>
      <c r="C61" s="14" t="s">
        <v>124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23.25" customHeight="1">
      <c r="A62" s="15" t="s">
        <v>125</v>
      </c>
      <c r="B62" s="15" t="s">
        <v>27</v>
      </c>
      <c r="C62" s="14" t="s">
        <v>126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23.25" customHeight="1">
      <c r="A63" s="15" t="s">
        <v>127</v>
      </c>
      <c r="B63" s="15" t="s">
        <v>27</v>
      </c>
      <c r="C63" s="14" t="s">
        <v>128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23.25" customHeight="1">
      <c r="A64" s="15" t="s">
        <v>129</v>
      </c>
      <c r="B64" s="15" t="s">
        <v>27</v>
      </c>
      <c r="C64" s="14" t="s">
        <v>130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23.25" customHeight="1">
      <c r="A65" s="15" t="s">
        <v>131</v>
      </c>
      <c r="B65" s="15" t="s">
        <v>27</v>
      </c>
      <c r="C65" s="14" t="s">
        <v>132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3.25" customHeight="1">
      <c r="A66" s="15" t="s">
        <v>133</v>
      </c>
      <c r="B66" s="15" t="s">
        <v>27</v>
      </c>
      <c r="C66" s="14" t="s">
        <v>134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3.25" customHeight="1">
      <c r="A67" s="15" t="s">
        <v>135</v>
      </c>
      <c r="B67" s="15" t="s">
        <v>27</v>
      </c>
      <c r="C67" s="14" t="s">
        <v>136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23.25" customHeight="1">
      <c r="A68" s="15" t="s">
        <v>137</v>
      </c>
      <c r="B68" s="15" t="s">
        <v>138</v>
      </c>
      <c r="C68" s="14" t="s">
        <v>139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23.25" customHeight="1">
      <c r="A69" s="15" t="s">
        <v>140</v>
      </c>
      <c r="B69" s="15" t="s">
        <v>138</v>
      </c>
      <c r="C69" s="14" t="s">
        <v>141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23.25" customHeight="1">
      <c r="A70" s="15" t="s">
        <v>142</v>
      </c>
      <c r="B70" s="15" t="s">
        <v>138</v>
      </c>
      <c r="C70" s="14" t="s">
        <v>143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23.25" customHeight="1">
      <c r="A71" s="15" t="s">
        <v>144</v>
      </c>
      <c r="B71" s="15" t="s">
        <v>138</v>
      </c>
      <c r="C71" s="14" t="s">
        <v>145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23.25" customHeight="1">
      <c r="A72" s="15" t="s">
        <v>146</v>
      </c>
      <c r="B72" s="15" t="s">
        <v>138</v>
      </c>
      <c r="C72" s="14" t="s">
        <v>147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23.25" customHeight="1">
      <c r="A73" s="15" t="s">
        <v>148</v>
      </c>
      <c r="B73" s="15" t="s">
        <v>138</v>
      </c>
      <c r="C73" s="14" t="s">
        <v>149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23.25" customHeight="1">
      <c r="A74" s="15" t="s">
        <v>150</v>
      </c>
      <c r="B74" s="15" t="s">
        <v>138</v>
      </c>
      <c r="C74" s="14" t="s">
        <v>151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23.25" customHeight="1">
      <c r="A75" s="15" t="s">
        <v>152</v>
      </c>
      <c r="B75" s="15" t="s">
        <v>138</v>
      </c>
      <c r="C75" s="14" t="s">
        <v>153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23.25" customHeight="1">
      <c r="A76" s="15" t="s">
        <v>154</v>
      </c>
      <c r="B76" s="15" t="s">
        <v>138</v>
      </c>
      <c r="C76" s="14" t="s">
        <v>155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23.25" customHeight="1">
      <c r="A77" s="15" t="s">
        <v>156</v>
      </c>
      <c r="B77" s="15" t="s">
        <v>138</v>
      </c>
      <c r="C77" s="14" t="s">
        <v>157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23.25" customHeight="1">
      <c r="A78" s="15" t="s">
        <v>158</v>
      </c>
      <c r="B78" s="15" t="s">
        <v>138</v>
      </c>
      <c r="C78" s="14" t="s">
        <v>159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23.25" customHeight="1">
      <c r="A79" s="15" t="s">
        <v>160</v>
      </c>
      <c r="B79" s="15" t="s">
        <v>138</v>
      </c>
      <c r="C79" s="14" t="s">
        <v>161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23.25" customHeight="1">
      <c r="A80" s="15" t="s">
        <v>162</v>
      </c>
      <c r="B80" s="15" t="s">
        <v>138</v>
      </c>
      <c r="C80" s="14" t="s">
        <v>163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23.25" customHeight="1">
      <c r="A81" s="15" t="s">
        <v>164</v>
      </c>
      <c r="B81" s="15" t="s">
        <v>138</v>
      </c>
      <c r="C81" s="14" t="s">
        <v>165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23.25" customHeight="1">
      <c r="A82" s="15" t="s">
        <v>166</v>
      </c>
      <c r="B82" s="15" t="s">
        <v>138</v>
      </c>
      <c r="C82" s="14" t="s">
        <v>167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23.25" customHeight="1">
      <c r="A83" s="15" t="s">
        <v>168</v>
      </c>
      <c r="B83" s="15" t="s">
        <v>138</v>
      </c>
      <c r="C83" s="14" t="s">
        <v>169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23.25" customHeight="1">
      <c r="A84" s="15" t="s">
        <v>170</v>
      </c>
      <c r="B84" s="15" t="s">
        <v>138</v>
      </c>
      <c r="C84" s="14" t="s">
        <v>171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23.25" customHeight="1">
      <c r="A85" s="15" t="s">
        <v>172</v>
      </c>
      <c r="B85" s="15" t="s">
        <v>138</v>
      </c>
      <c r="C85" s="14" t="s">
        <v>173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23.25" customHeight="1">
      <c r="A86" s="15" t="s">
        <v>174</v>
      </c>
      <c r="B86" s="15" t="s">
        <v>138</v>
      </c>
      <c r="C86" s="14" t="s">
        <v>175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23.25" customHeight="1">
      <c r="A87" s="15" t="s">
        <v>176</v>
      </c>
      <c r="B87" s="15" t="s">
        <v>138</v>
      </c>
      <c r="C87" s="14" t="s">
        <v>177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23.25" customHeight="1">
      <c r="A88" s="15" t="s">
        <v>178</v>
      </c>
      <c r="B88" s="15" t="s">
        <v>138</v>
      </c>
      <c r="C88" s="14" t="s">
        <v>179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23.25" customHeight="1">
      <c r="A89" s="15" t="s">
        <v>180</v>
      </c>
      <c r="B89" s="15" t="s">
        <v>138</v>
      </c>
      <c r="C89" s="14" t="s">
        <v>181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23.25" customHeight="1">
      <c r="A90" s="15" t="s">
        <v>182</v>
      </c>
      <c r="B90" s="15" t="s">
        <v>138</v>
      </c>
      <c r="C90" s="14" t="s">
        <v>183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23.25" customHeight="1">
      <c r="A91" s="15" t="s">
        <v>184</v>
      </c>
      <c r="B91" s="15" t="s">
        <v>138</v>
      </c>
      <c r="C91" s="14" t="s">
        <v>185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23.25" customHeight="1">
      <c r="A92" s="15" t="s">
        <v>186</v>
      </c>
      <c r="B92" s="15" t="s">
        <v>187</v>
      </c>
      <c r="C92" s="14" t="s">
        <v>188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23.25" customHeight="1">
      <c r="A93" s="15" t="s">
        <v>189</v>
      </c>
      <c r="B93" s="15" t="s">
        <v>187</v>
      </c>
      <c r="C93" s="14" t="s">
        <v>190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23.25" customHeight="1">
      <c r="A94" s="15" t="s">
        <v>191</v>
      </c>
      <c r="B94" s="15" t="s">
        <v>187</v>
      </c>
      <c r="C94" s="14" t="s">
        <v>192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23.25" customHeight="1">
      <c r="A95" s="15" t="s">
        <v>193</v>
      </c>
      <c r="B95" s="15" t="s">
        <v>187</v>
      </c>
      <c r="C95" s="14" t="s">
        <v>194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23.25" customHeight="1">
      <c r="A96" s="15" t="s">
        <v>10</v>
      </c>
      <c r="B96" s="15" t="s">
        <v>187</v>
      </c>
      <c r="C96" s="14" t="s">
        <v>195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23.25" customHeight="1">
      <c r="A97" s="15" t="s">
        <v>12</v>
      </c>
      <c r="B97" s="15" t="s">
        <v>187</v>
      </c>
      <c r="C97" s="14" t="s">
        <v>196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23.25" customHeight="1">
      <c r="A98" s="15" t="s">
        <v>14</v>
      </c>
      <c r="B98" s="15" t="s">
        <v>187</v>
      </c>
      <c r="C98" s="14" t="s">
        <v>197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3.25" customHeight="1">
      <c r="A99" s="15" t="s">
        <v>20</v>
      </c>
      <c r="B99" s="15" t="s">
        <v>187</v>
      </c>
      <c r="C99" s="14" t="s">
        <v>198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23.25" customHeight="1">
      <c r="A100" s="15" t="s">
        <v>22</v>
      </c>
      <c r="B100" s="15" t="s">
        <v>187</v>
      </c>
      <c r="C100" s="14" t="s">
        <v>199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23.25" customHeight="1">
      <c r="A101" s="15" t="s">
        <v>16</v>
      </c>
      <c r="B101" s="15" t="s">
        <v>187</v>
      </c>
      <c r="C101" s="14" t="s">
        <v>200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23.25" customHeight="1">
      <c r="A102" s="15" t="s">
        <v>18</v>
      </c>
      <c r="B102" s="15" t="s">
        <v>187</v>
      </c>
      <c r="C102" s="14" t="s">
        <v>201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23.25" customHeight="1">
      <c r="A103" s="15" t="s">
        <v>202</v>
      </c>
      <c r="B103" s="15" t="s">
        <v>187</v>
      </c>
      <c r="C103" s="14" t="s">
        <v>203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23.25" customHeight="1">
      <c r="A104" s="15" t="s">
        <v>204</v>
      </c>
      <c r="B104" s="15" t="s">
        <v>205</v>
      </c>
      <c r="C104" s="14" t="s">
        <v>206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23.25" customHeight="1">
      <c r="A105" s="15" t="s">
        <v>207</v>
      </c>
      <c r="B105" s="15" t="s">
        <v>205</v>
      </c>
      <c r="C105" s="14" t="s">
        <v>208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23.25" customHeight="1">
      <c r="A106" s="15" t="s">
        <v>209</v>
      </c>
      <c r="B106" s="15" t="s">
        <v>205</v>
      </c>
      <c r="C106" s="14" t="s">
        <v>210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23.25" customHeight="1">
      <c r="A107" s="15" t="s">
        <v>45</v>
      </c>
      <c r="B107" s="15" t="s">
        <v>205</v>
      </c>
      <c r="C107" s="14" t="s">
        <v>211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23.25" customHeight="1">
      <c r="A108" s="15" t="s">
        <v>212</v>
      </c>
      <c r="B108" s="15" t="s">
        <v>205</v>
      </c>
      <c r="C108" s="14" t="s">
        <v>213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23.25" customHeight="1">
      <c r="A109" s="15" t="s">
        <v>214</v>
      </c>
      <c r="B109" s="15" t="s">
        <v>205</v>
      </c>
      <c r="C109" s="14" t="s">
        <v>215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23.25" customHeight="1">
      <c r="A110" s="15" t="s">
        <v>216</v>
      </c>
      <c r="B110" s="15" t="s">
        <v>205</v>
      </c>
      <c r="C110" s="14" t="s">
        <v>217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23.25" customHeight="1">
      <c r="A111" s="15" t="s">
        <v>33</v>
      </c>
      <c r="B111" s="15" t="s">
        <v>205</v>
      </c>
      <c r="C111" s="14" t="s">
        <v>218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23.25" customHeight="1">
      <c r="A112" s="15" t="s">
        <v>219</v>
      </c>
      <c r="B112" s="15" t="s">
        <v>205</v>
      </c>
      <c r="C112" s="14" t="s">
        <v>220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23.25" customHeight="1">
      <c r="A113" s="15" t="s">
        <v>221</v>
      </c>
      <c r="B113" s="15" t="s">
        <v>205</v>
      </c>
      <c r="C113" s="14" t="s">
        <v>222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23.25" customHeight="1">
      <c r="A114" s="15" t="s">
        <v>43</v>
      </c>
      <c r="B114" s="15" t="s">
        <v>205</v>
      </c>
      <c r="C114" s="14" t="s">
        <v>223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23.25" customHeight="1">
      <c r="A115" s="15" t="s">
        <v>35</v>
      </c>
      <c r="B115" s="15" t="s">
        <v>205</v>
      </c>
      <c r="C115" s="14" t="s">
        <v>224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23.25" customHeight="1">
      <c r="A116" s="15" t="s">
        <v>37</v>
      </c>
      <c r="B116" s="15" t="s">
        <v>205</v>
      </c>
      <c r="C116" s="14" t="s">
        <v>225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23.25" customHeight="1">
      <c r="A117" s="15" t="s">
        <v>39</v>
      </c>
      <c r="B117" s="15" t="s">
        <v>205</v>
      </c>
      <c r="C117" s="14" t="s">
        <v>226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23.25" customHeight="1">
      <c r="A118" s="15" t="s">
        <v>227</v>
      </c>
      <c r="B118" s="15" t="s">
        <v>205</v>
      </c>
      <c r="C118" s="14" t="s">
        <v>228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23.25" customHeight="1">
      <c r="A119" s="15" t="s">
        <v>229</v>
      </c>
      <c r="B119" s="15" t="s">
        <v>205</v>
      </c>
      <c r="C119" s="14" t="s">
        <v>230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23.25" customHeight="1">
      <c r="A120" s="15" t="s">
        <v>41</v>
      </c>
      <c r="B120" s="15" t="s">
        <v>205</v>
      </c>
      <c r="C120" s="14" t="s">
        <v>231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23.25" customHeight="1">
      <c r="A121" s="15" t="s">
        <v>232</v>
      </c>
      <c r="B121" s="15" t="s">
        <v>205</v>
      </c>
      <c r="C121" s="14" t="s">
        <v>233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23.25" customHeight="1">
      <c r="A122" s="15" t="s">
        <v>234</v>
      </c>
      <c r="B122" s="15" t="s">
        <v>205</v>
      </c>
      <c r="C122" s="14" t="s">
        <v>235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23.25" customHeight="1">
      <c r="A123" s="15" t="s">
        <v>236</v>
      </c>
      <c r="B123" s="15" t="s">
        <v>205</v>
      </c>
      <c r="C123" s="14" t="s">
        <v>237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23.25" customHeight="1">
      <c r="A124" s="15" t="s">
        <v>238</v>
      </c>
      <c r="B124" s="15" t="s">
        <v>239</v>
      </c>
      <c r="C124" s="14" t="s">
        <v>240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23.25" customHeight="1">
      <c r="A125" s="15" t="s">
        <v>241</v>
      </c>
      <c r="B125" s="15" t="s">
        <v>239</v>
      </c>
      <c r="C125" s="14" t="s">
        <v>242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23.25" customHeight="1">
      <c r="A126" s="15" t="s">
        <v>243</v>
      </c>
      <c r="B126" s="15" t="s">
        <v>239</v>
      </c>
      <c r="C126" s="14" t="s">
        <v>244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23.25" customHeight="1">
      <c r="A127" s="15" t="s">
        <v>245</v>
      </c>
      <c r="B127" s="15" t="s">
        <v>239</v>
      </c>
      <c r="C127" s="14" t="s">
        <v>246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23.25" customHeight="1">
      <c r="A128" s="15" t="s">
        <v>247</v>
      </c>
      <c r="B128" s="15" t="s">
        <v>239</v>
      </c>
      <c r="C128" s="14" t="s">
        <v>248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23.25" customHeight="1">
      <c r="A129" s="15" t="s">
        <v>249</v>
      </c>
      <c r="B129" s="15" t="s">
        <v>239</v>
      </c>
      <c r="C129" s="14" t="s">
        <v>250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23.25" customHeight="1">
      <c r="A130" s="15" t="s">
        <v>251</v>
      </c>
      <c r="B130" s="15" t="s">
        <v>239</v>
      </c>
      <c r="C130" s="14" t="s">
        <v>252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23.25" customHeight="1">
      <c r="A131" s="15" t="s">
        <v>253</v>
      </c>
      <c r="B131" s="15" t="s">
        <v>239</v>
      </c>
      <c r="C131" s="14" t="s">
        <v>254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23.25" customHeight="1">
      <c r="A132" s="15" t="s">
        <v>255</v>
      </c>
      <c r="B132" s="15" t="s">
        <v>239</v>
      </c>
      <c r="C132" s="14" t="s">
        <v>256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23.25" customHeight="1">
      <c r="A133" s="15" t="s">
        <v>257</v>
      </c>
      <c r="B133" s="15" t="s">
        <v>239</v>
      </c>
      <c r="C133" s="14" t="s">
        <v>258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23.25" customHeight="1">
      <c r="A134" s="15" t="s">
        <v>259</v>
      </c>
      <c r="B134" s="15" t="s">
        <v>239</v>
      </c>
      <c r="C134" s="14" t="s">
        <v>260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23.25" customHeight="1">
      <c r="A135" s="15" t="s">
        <v>261</v>
      </c>
      <c r="B135" s="15" t="s">
        <v>239</v>
      </c>
      <c r="C135" s="14" t="s">
        <v>262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23.25" customHeight="1">
      <c r="A136" s="15" t="s">
        <v>263</v>
      </c>
      <c r="B136" s="15" t="s">
        <v>264</v>
      </c>
      <c r="C136" s="14" t="s">
        <v>265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23.25" customHeight="1">
      <c r="A137" s="15" t="s">
        <v>266</v>
      </c>
      <c r="B137" s="15" t="s">
        <v>264</v>
      </c>
      <c r="C137" s="14" t="s">
        <v>267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23.25" customHeight="1">
      <c r="A138" s="15" t="s">
        <v>268</v>
      </c>
      <c r="B138" s="15" t="s">
        <v>264</v>
      </c>
      <c r="C138" s="14" t="s">
        <v>269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23.25" customHeight="1">
      <c r="A139" s="15" t="s">
        <v>270</v>
      </c>
      <c r="B139" s="15" t="s">
        <v>264</v>
      </c>
      <c r="C139" s="14" t="s">
        <v>271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23.25" customHeight="1">
      <c r="A140" s="15" t="s">
        <v>272</v>
      </c>
      <c r="B140" s="15" t="s">
        <v>264</v>
      </c>
      <c r="C140" s="14" t="s">
        <v>273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23.25" customHeight="1">
      <c r="A141" s="15" t="s">
        <v>274</v>
      </c>
      <c r="B141" s="15" t="s">
        <v>264</v>
      </c>
      <c r="C141" s="14" t="s">
        <v>275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23.25" customHeight="1">
      <c r="A142" s="15" t="s">
        <v>276</v>
      </c>
      <c r="B142" s="15" t="s">
        <v>264</v>
      </c>
      <c r="C142" s="14" t="s">
        <v>277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23.25" customHeight="1">
      <c r="A143" s="15" t="s">
        <v>278</v>
      </c>
      <c r="B143" s="15" t="s">
        <v>264</v>
      </c>
      <c r="C143" s="14" t="s">
        <v>279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23.25" customHeight="1">
      <c r="A144" s="15" t="s">
        <v>280</v>
      </c>
      <c r="B144" s="15" t="s">
        <v>264</v>
      </c>
      <c r="C144" s="14" t="s">
        <v>281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23.25" customHeight="1">
      <c r="A145" s="15" t="s">
        <v>282</v>
      </c>
      <c r="B145" s="15" t="s">
        <v>264</v>
      </c>
      <c r="C145" s="14" t="s">
        <v>283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23.25" customHeight="1">
      <c r="A146" s="15" t="s">
        <v>284</v>
      </c>
      <c r="B146" s="15" t="s">
        <v>264</v>
      </c>
      <c r="C146" s="14" t="s">
        <v>285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23.25" customHeight="1">
      <c r="A147" s="15" t="s">
        <v>286</v>
      </c>
      <c r="B147" s="15" t="s">
        <v>264</v>
      </c>
      <c r="C147" s="14" t="s">
        <v>287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23.25" customHeight="1">
      <c r="A148" s="15" t="s">
        <v>288</v>
      </c>
      <c r="B148" s="15" t="s">
        <v>264</v>
      </c>
      <c r="C148" s="14" t="s">
        <v>289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23.25" customHeight="1">
      <c r="A149" s="15" t="s">
        <v>290</v>
      </c>
      <c r="B149" s="15" t="s">
        <v>264</v>
      </c>
      <c r="C149" s="14" t="s">
        <v>291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23.25" customHeight="1">
      <c r="A150" s="15" t="s">
        <v>292</v>
      </c>
      <c r="B150" s="15" t="s">
        <v>264</v>
      </c>
      <c r="C150" s="14" t="s">
        <v>293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23.25" customHeight="1">
      <c r="A151" s="15" t="s">
        <v>294</v>
      </c>
      <c r="B151" s="15" t="s">
        <v>264</v>
      </c>
      <c r="C151" s="14" t="s">
        <v>295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23.25" customHeight="1">
      <c r="A152" s="15" t="s">
        <v>296</v>
      </c>
      <c r="B152" s="15" t="s">
        <v>264</v>
      </c>
      <c r="C152" s="14" t="s">
        <v>297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23.25" customHeight="1">
      <c r="A153" s="15" t="s">
        <v>298</v>
      </c>
      <c r="B153" s="15" t="s">
        <v>299</v>
      </c>
      <c r="C153" s="14" t="s">
        <v>300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23.25" customHeight="1">
      <c r="A154" s="15" t="s">
        <v>301</v>
      </c>
      <c r="B154" s="15" t="s">
        <v>299</v>
      </c>
      <c r="C154" s="14" t="s">
        <v>302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23.25" customHeight="1">
      <c r="A155" s="15" t="s">
        <v>303</v>
      </c>
      <c r="B155" s="15" t="s">
        <v>299</v>
      </c>
      <c r="C155" s="14" t="s">
        <v>304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23.25" customHeight="1">
      <c r="A156" s="15" t="s">
        <v>305</v>
      </c>
      <c r="B156" s="15" t="s">
        <v>299</v>
      </c>
      <c r="C156" s="14" t="s">
        <v>306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23.25" customHeight="1">
      <c r="A157" s="15" t="s">
        <v>307</v>
      </c>
      <c r="B157" s="15" t="s">
        <v>299</v>
      </c>
      <c r="C157" s="14" t="s">
        <v>308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23.25" customHeight="1">
      <c r="A158" s="15" t="s">
        <v>309</v>
      </c>
      <c r="B158" s="15" t="s">
        <v>299</v>
      </c>
      <c r="C158" s="14" t="s">
        <v>310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23.25" customHeight="1">
      <c r="A159" s="15" t="s">
        <v>311</v>
      </c>
      <c r="B159" s="15" t="s">
        <v>299</v>
      </c>
      <c r="C159" s="14" t="s">
        <v>312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23.25" customHeight="1">
      <c r="A160" s="15" t="s">
        <v>313</v>
      </c>
      <c r="B160" s="15" t="s">
        <v>299</v>
      </c>
      <c r="C160" s="14" t="s">
        <v>314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23.25" customHeight="1">
      <c r="A161" s="15" t="s">
        <v>315</v>
      </c>
      <c r="B161" s="15" t="s">
        <v>299</v>
      </c>
      <c r="C161" s="14" t="s">
        <v>316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23.25" customHeight="1">
      <c r="A162" s="15" t="s">
        <v>317</v>
      </c>
      <c r="B162" s="15" t="s">
        <v>299</v>
      </c>
      <c r="C162" s="14" t="s">
        <v>318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23.25" customHeight="1">
      <c r="A163" s="15" t="s">
        <v>319</v>
      </c>
      <c r="B163" s="15" t="s">
        <v>320</v>
      </c>
      <c r="C163" s="14" t="s">
        <v>321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23.25" customHeight="1">
      <c r="A164" s="15" t="s">
        <v>322</v>
      </c>
      <c r="B164" s="15" t="s">
        <v>320</v>
      </c>
      <c r="C164" s="14" t="s">
        <v>323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23.25" customHeight="1">
      <c r="A165" s="15" t="s">
        <v>324</v>
      </c>
      <c r="B165" s="15" t="s">
        <v>320</v>
      </c>
      <c r="C165" s="14" t="s">
        <v>325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23.25" customHeight="1">
      <c r="A166" s="15" t="s">
        <v>326</v>
      </c>
      <c r="B166" s="15" t="s">
        <v>320</v>
      </c>
      <c r="C166" s="14" t="s">
        <v>327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23.25" customHeight="1">
      <c r="A167" s="15" t="s">
        <v>328</v>
      </c>
      <c r="B167" s="15" t="s">
        <v>320</v>
      </c>
      <c r="C167" s="14" t="s">
        <v>329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23.25" customHeight="1">
      <c r="A168" s="15" t="s">
        <v>330</v>
      </c>
      <c r="B168" s="15" t="s">
        <v>320</v>
      </c>
      <c r="C168" s="14" t="s">
        <v>331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23.25" customHeight="1">
      <c r="A169" s="15" t="s">
        <v>332</v>
      </c>
      <c r="B169" s="15" t="s">
        <v>320</v>
      </c>
      <c r="C169" s="14" t="s">
        <v>333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23.25" customHeight="1">
      <c r="A170" s="15" t="s">
        <v>334</v>
      </c>
      <c r="B170" s="15" t="s">
        <v>320</v>
      </c>
      <c r="C170" s="14" t="s">
        <v>335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23.25" customHeight="1">
      <c r="A171" s="15" t="s">
        <v>336</v>
      </c>
      <c r="B171" s="15" t="s">
        <v>320</v>
      </c>
      <c r="C171" s="14" t="s">
        <v>337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23.25" customHeight="1">
      <c r="A172" s="15" t="s">
        <v>338</v>
      </c>
      <c r="B172" s="15" t="s">
        <v>339</v>
      </c>
      <c r="C172" s="14" t="s">
        <v>340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23.25" customHeight="1">
      <c r="A173" s="15" t="s">
        <v>341</v>
      </c>
      <c r="B173" s="15" t="s">
        <v>339</v>
      </c>
      <c r="C173" s="14" t="s">
        <v>342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23.25" customHeight="1">
      <c r="A174" s="15" t="s">
        <v>343</v>
      </c>
      <c r="B174" s="15" t="s">
        <v>339</v>
      </c>
      <c r="C174" s="14" t="s">
        <v>344</v>
      </c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23.25" customHeight="1">
      <c r="A175" s="15" t="s">
        <v>345</v>
      </c>
      <c r="B175" s="15" t="s">
        <v>339</v>
      </c>
      <c r="C175" s="14" t="s">
        <v>346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23.25" customHeight="1">
      <c r="A176" s="15" t="s">
        <v>347</v>
      </c>
      <c r="B176" s="15" t="s">
        <v>339</v>
      </c>
      <c r="C176" s="14" t="s">
        <v>348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23.25" customHeight="1">
      <c r="A177" s="15" t="s">
        <v>349</v>
      </c>
      <c r="B177" s="15" t="s">
        <v>339</v>
      </c>
      <c r="C177" s="14" t="s">
        <v>350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23.25" customHeight="1">
      <c r="A178" s="15" t="s">
        <v>351</v>
      </c>
      <c r="B178" s="15" t="s">
        <v>339</v>
      </c>
      <c r="C178" s="14" t="s">
        <v>352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23.25" customHeight="1">
      <c r="A179" s="15" t="s">
        <v>353</v>
      </c>
      <c r="B179" s="15" t="s">
        <v>339</v>
      </c>
      <c r="C179" s="14" t="s">
        <v>354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23.25" customHeight="1">
      <c r="A180" s="15" t="s">
        <v>355</v>
      </c>
      <c r="B180" s="15" t="s">
        <v>339</v>
      </c>
      <c r="C180" s="14" t="s">
        <v>356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23.25" customHeight="1">
      <c r="A181" s="15" t="s">
        <v>357</v>
      </c>
      <c r="B181" s="15" t="s">
        <v>339</v>
      </c>
      <c r="C181" s="14" t="s">
        <v>358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23.25" customHeight="1">
      <c r="A182" s="15" t="s">
        <v>359</v>
      </c>
      <c r="B182" s="15" t="s">
        <v>360</v>
      </c>
      <c r="C182" s="14" t="s">
        <v>361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23.25" customHeight="1">
      <c r="A183" s="15" t="s">
        <v>362</v>
      </c>
      <c r="B183" s="15" t="s">
        <v>360</v>
      </c>
      <c r="C183" s="14" t="s">
        <v>363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23.25" customHeight="1">
      <c r="A184" s="15" t="s">
        <v>364</v>
      </c>
      <c r="B184" s="15" t="s">
        <v>360</v>
      </c>
      <c r="C184" s="14" t="s">
        <v>365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23.25" customHeight="1">
      <c r="A185" s="15" t="s">
        <v>366</v>
      </c>
      <c r="B185" s="15" t="s">
        <v>360</v>
      </c>
      <c r="C185" s="14" t="s">
        <v>367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23.25" customHeight="1">
      <c r="A186" s="15" t="s">
        <v>368</v>
      </c>
      <c r="B186" s="15" t="s">
        <v>360</v>
      </c>
      <c r="C186" s="14" t="s">
        <v>369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23.25" customHeight="1">
      <c r="A187" s="15" t="s">
        <v>370</v>
      </c>
      <c r="B187" s="15" t="s">
        <v>360</v>
      </c>
      <c r="C187" s="14" t="s">
        <v>371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23.25" customHeight="1">
      <c r="A188" s="15" t="s">
        <v>372</v>
      </c>
      <c r="B188" s="15" t="s">
        <v>360</v>
      </c>
      <c r="C188" s="14" t="s">
        <v>373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23.25" customHeight="1">
      <c r="A189" s="15" t="s">
        <v>374</v>
      </c>
      <c r="B189" s="15" t="s">
        <v>360</v>
      </c>
      <c r="C189" s="14" t="s">
        <v>375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23.25" customHeight="1">
      <c r="A190" s="15" t="s">
        <v>376</v>
      </c>
      <c r="B190" s="15" t="s">
        <v>360</v>
      </c>
      <c r="C190" s="14" t="s">
        <v>377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23.25" customHeight="1">
      <c r="A191" s="15" t="s">
        <v>378</v>
      </c>
      <c r="B191" s="15" t="s">
        <v>138</v>
      </c>
      <c r="C191" s="14" t="s">
        <v>379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23.25" customHeight="1">
      <c r="A192" s="15" t="s">
        <v>380</v>
      </c>
      <c r="B192" s="15" t="s">
        <v>138</v>
      </c>
      <c r="C192" s="14" t="s">
        <v>381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23.25" customHeight="1">
      <c r="A193" s="15" t="s">
        <v>382</v>
      </c>
      <c r="B193" s="15" t="s">
        <v>138</v>
      </c>
      <c r="C193" s="14" t="s">
        <v>383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23.25" customHeight="1">
      <c r="A194" s="15" t="s">
        <v>384</v>
      </c>
      <c r="B194" s="15" t="s">
        <v>138</v>
      </c>
      <c r="C194" s="14" t="s">
        <v>385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23.25" customHeight="1">
      <c r="A195" s="15" t="s">
        <v>386</v>
      </c>
      <c r="B195" s="15" t="s">
        <v>138</v>
      </c>
      <c r="C195" s="14" t="s">
        <v>387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23.25" customHeight="1">
      <c r="A196" s="15" t="s">
        <v>388</v>
      </c>
      <c r="B196" s="15" t="s">
        <v>138</v>
      </c>
      <c r="C196" s="14" t="s">
        <v>389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23.25" customHeight="1">
      <c r="A197" s="15" t="s">
        <v>390</v>
      </c>
      <c r="B197" s="15" t="s">
        <v>138</v>
      </c>
      <c r="C197" s="14" t="s">
        <v>391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23.25" customHeight="1">
      <c r="A198" s="15" t="s">
        <v>392</v>
      </c>
      <c r="B198" s="15" t="s">
        <v>138</v>
      </c>
      <c r="C198" s="14" t="s">
        <v>393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23.25" customHeight="1">
      <c r="A199" s="15" t="s">
        <v>394</v>
      </c>
      <c r="B199" s="15" t="s">
        <v>138</v>
      </c>
      <c r="C199" s="14" t="s">
        <v>395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23.25" customHeight="1">
      <c r="A200" s="15" t="s">
        <v>152</v>
      </c>
      <c r="B200" s="15" t="s">
        <v>138</v>
      </c>
      <c r="C200" s="14" t="s">
        <v>396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23.25" customHeight="1">
      <c r="A201" s="15" t="s">
        <v>397</v>
      </c>
      <c r="B201" s="15" t="s">
        <v>138</v>
      </c>
      <c r="C201" s="14" t="s">
        <v>398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23.25" customHeight="1">
      <c r="A202" s="15" t="s">
        <v>399</v>
      </c>
      <c r="B202" s="15" t="s">
        <v>138</v>
      </c>
      <c r="C202" s="14" t="s">
        <v>400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23.25" customHeight="1">
      <c r="A203" s="15" t="s">
        <v>401</v>
      </c>
      <c r="B203" s="15" t="s">
        <v>138</v>
      </c>
      <c r="C203" s="14" t="s">
        <v>402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23.25" customHeight="1">
      <c r="A204" s="15" t="s">
        <v>403</v>
      </c>
      <c r="B204" s="15" t="s">
        <v>138</v>
      </c>
      <c r="C204" s="14" t="s">
        <v>404</v>
      </c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23.25" customHeight="1">
      <c r="A205" s="15" t="s">
        <v>405</v>
      </c>
      <c r="B205" s="15" t="s">
        <v>138</v>
      </c>
      <c r="C205" s="14" t="s">
        <v>406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23.25" customHeight="1">
      <c r="A206" s="15" t="s">
        <v>407</v>
      </c>
      <c r="B206" s="15" t="s">
        <v>138</v>
      </c>
      <c r="C206" s="14" t="s">
        <v>408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23.25" customHeight="1">
      <c r="A207" s="15" t="s">
        <v>409</v>
      </c>
      <c r="B207" s="15" t="s">
        <v>138</v>
      </c>
      <c r="C207" s="14" t="s">
        <v>410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23.25" customHeight="1">
      <c r="A208" s="15" t="s">
        <v>411</v>
      </c>
      <c r="B208" s="15" t="s">
        <v>138</v>
      </c>
      <c r="C208" s="14" t="s">
        <v>412</v>
      </c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23.25" customHeight="1">
      <c r="A209" s="15" t="s">
        <v>413</v>
      </c>
      <c r="B209" s="15" t="s">
        <v>138</v>
      </c>
      <c r="C209" s="14" t="s">
        <v>414</v>
      </c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23.25" customHeight="1">
      <c r="A210" s="15" t="s">
        <v>170</v>
      </c>
      <c r="B210" s="15" t="s">
        <v>138</v>
      </c>
      <c r="C210" s="14" t="s">
        <v>415</v>
      </c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23.25" customHeight="1">
      <c r="A211" s="15" t="s">
        <v>416</v>
      </c>
      <c r="B211" s="15" t="s">
        <v>138</v>
      </c>
      <c r="C211" s="14" t="s">
        <v>417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23.25" customHeight="1">
      <c r="A212" s="15" t="s">
        <v>418</v>
      </c>
      <c r="B212" s="15" t="s">
        <v>138</v>
      </c>
      <c r="C212" s="14" t="s">
        <v>419</v>
      </c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23.25" customHeight="1">
      <c r="A213" s="15" t="s">
        <v>420</v>
      </c>
      <c r="B213" s="15" t="s">
        <v>421</v>
      </c>
      <c r="C213" s="14" t="s">
        <v>422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23.25" customHeight="1">
      <c r="A214" s="15" t="s">
        <v>423</v>
      </c>
      <c r="B214" s="15" t="s">
        <v>421</v>
      </c>
      <c r="C214" s="14" t="s">
        <v>424</v>
      </c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23.25" customHeight="1">
      <c r="A215" s="15" t="s">
        <v>425</v>
      </c>
      <c r="B215" s="15" t="s">
        <v>187</v>
      </c>
      <c r="C215" s="14" t="s">
        <v>426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23.25" customHeight="1">
      <c r="A216" s="15" t="s">
        <v>427</v>
      </c>
      <c r="B216" s="15" t="s">
        <v>187</v>
      </c>
      <c r="C216" s="14" t="s">
        <v>428</v>
      </c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23.25" customHeight="1">
      <c r="A217" s="15" t="s">
        <v>429</v>
      </c>
      <c r="B217" s="15" t="s">
        <v>187</v>
      </c>
      <c r="C217" s="14" t="s">
        <v>430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23.25" customHeight="1">
      <c r="A218" s="15" t="s">
        <v>431</v>
      </c>
      <c r="B218" s="15" t="s">
        <v>187</v>
      </c>
      <c r="C218" s="14" t="s">
        <v>432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23.25" customHeight="1">
      <c r="A219" s="15" t="s">
        <v>433</v>
      </c>
      <c r="B219" s="15" t="s">
        <v>187</v>
      </c>
      <c r="C219" s="14" t="s">
        <v>434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23.25" customHeight="1">
      <c r="A220" s="15" t="s">
        <v>435</v>
      </c>
      <c r="B220" s="15" t="s">
        <v>187</v>
      </c>
      <c r="C220" s="14" t="s">
        <v>436</v>
      </c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23.25" customHeight="1">
      <c r="A221" s="15" t="s">
        <v>437</v>
      </c>
      <c r="B221" s="15" t="s">
        <v>187</v>
      </c>
      <c r="C221" s="14" t="s">
        <v>438</v>
      </c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23.25" customHeight="1">
      <c r="A222" s="15" t="s">
        <v>439</v>
      </c>
      <c r="B222" s="15" t="s">
        <v>187</v>
      </c>
      <c r="C222" s="14" t="s">
        <v>440</v>
      </c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23.25" customHeight="1">
      <c r="A223" s="15" t="s">
        <v>441</v>
      </c>
      <c r="B223" s="15" t="s">
        <v>187</v>
      </c>
      <c r="C223" s="14" t="s">
        <v>442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23.25" customHeight="1">
      <c r="A224" s="15" t="s">
        <v>443</v>
      </c>
      <c r="B224" s="15" t="s">
        <v>187</v>
      </c>
      <c r="C224" s="14" t="s">
        <v>444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23.25" customHeight="1">
      <c r="A225" s="15" t="s">
        <v>445</v>
      </c>
      <c r="B225" s="15" t="s">
        <v>187</v>
      </c>
      <c r="C225" s="14" t="s">
        <v>446</v>
      </c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23.25" customHeight="1">
      <c r="A226" s="15" t="s">
        <v>447</v>
      </c>
      <c r="B226" s="15" t="s">
        <v>187</v>
      </c>
      <c r="C226" s="14" t="s">
        <v>448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23.25" customHeight="1">
      <c r="A227" s="15" t="s">
        <v>449</v>
      </c>
      <c r="B227" s="15" t="s">
        <v>205</v>
      </c>
      <c r="C227" s="14" t="s">
        <v>450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23.25" customHeight="1">
      <c r="A228" s="15" t="s">
        <v>451</v>
      </c>
      <c r="B228" s="15" t="s">
        <v>205</v>
      </c>
      <c r="C228" s="14" t="s">
        <v>452</v>
      </c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23.25" customHeight="1">
      <c r="A229" s="15" t="s">
        <v>453</v>
      </c>
      <c r="B229" s="15" t="s">
        <v>205</v>
      </c>
      <c r="C229" s="14" t="s">
        <v>454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23.25" customHeight="1">
      <c r="A230" s="15" t="s">
        <v>455</v>
      </c>
      <c r="B230" s="15" t="s">
        <v>205</v>
      </c>
      <c r="C230" s="14" t="s">
        <v>456</v>
      </c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23.25" customHeight="1">
      <c r="A231" s="15" t="s">
        <v>457</v>
      </c>
      <c r="B231" s="15" t="s">
        <v>205</v>
      </c>
      <c r="C231" s="14" t="s">
        <v>458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23.25" customHeight="1">
      <c r="A232" s="15" t="s">
        <v>459</v>
      </c>
      <c r="B232" s="15" t="s">
        <v>205</v>
      </c>
      <c r="C232" s="14" t="s">
        <v>460</v>
      </c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23.25" customHeight="1">
      <c r="A233" s="15" t="s">
        <v>461</v>
      </c>
      <c r="B233" s="15" t="s">
        <v>205</v>
      </c>
      <c r="C233" s="14" t="s">
        <v>462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23.25" customHeight="1">
      <c r="A234" s="14" t="s">
        <v>463</v>
      </c>
      <c r="B234" s="15" t="s">
        <v>464</v>
      </c>
      <c r="C234" s="14" t="s">
        <v>465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23.25" customHeight="1">
      <c r="A235" s="14" t="s">
        <v>466</v>
      </c>
      <c r="B235" s="15" t="s">
        <v>464</v>
      </c>
      <c r="C235" s="14" t="s">
        <v>467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23.25" customHeight="1">
      <c r="A236" s="14" t="s">
        <v>468</v>
      </c>
      <c r="B236" s="15" t="s">
        <v>464</v>
      </c>
      <c r="C236" s="14" t="s">
        <v>469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23.25" customHeight="1">
      <c r="A237" s="14" t="s">
        <v>470</v>
      </c>
      <c r="B237" s="15" t="s">
        <v>464</v>
      </c>
      <c r="C237" s="14" t="s">
        <v>471</v>
      </c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23.25" customHeight="1">
      <c r="A238" s="15" t="s">
        <v>472</v>
      </c>
      <c r="B238" s="15" t="s">
        <v>473</v>
      </c>
      <c r="C238" s="14" t="s">
        <v>474</v>
      </c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23.25" customHeight="1">
      <c r="A239" s="15" t="s">
        <v>475</v>
      </c>
      <c r="B239" s="15" t="s">
        <v>473</v>
      </c>
      <c r="C239" s="14" t="s">
        <v>476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23.25" customHeight="1">
      <c r="A240" s="15" t="s">
        <v>477</v>
      </c>
      <c r="B240" s="15" t="s">
        <v>473</v>
      </c>
      <c r="C240" s="14" t="s">
        <v>478</v>
      </c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23.25" customHeight="1">
      <c r="A241" s="15" t="s">
        <v>479</v>
      </c>
      <c r="B241" s="15" t="s">
        <v>473</v>
      </c>
      <c r="C241" s="14" t="s">
        <v>480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23.25" customHeight="1">
      <c r="A242" s="15" t="s">
        <v>481</v>
      </c>
      <c r="B242" s="15" t="s">
        <v>473</v>
      </c>
      <c r="C242" s="14" t="s">
        <v>482</v>
      </c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23.25" customHeight="1">
      <c r="A243" s="15" t="s">
        <v>483</v>
      </c>
      <c r="B243" s="15" t="s">
        <v>473</v>
      </c>
      <c r="C243" s="14" t="s">
        <v>484</v>
      </c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23.25" customHeight="1">
      <c r="A244" s="15" t="s">
        <v>485</v>
      </c>
      <c r="B244" s="15" t="s">
        <v>473</v>
      </c>
      <c r="C244" s="14" t="s">
        <v>486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23.25" customHeight="1">
      <c r="A245" s="15" t="s">
        <v>487</v>
      </c>
      <c r="B245" s="15" t="s">
        <v>488</v>
      </c>
      <c r="C245" s="14" t="s">
        <v>489</v>
      </c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23.25" customHeight="1">
      <c r="A246" s="15" t="s">
        <v>490</v>
      </c>
      <c r="B246" s="15" t="s">
        <v>488</v>
      </c>
      <c r="C246" s="14" t="s">
        <v>491</v>
      </c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23.25" customHeight="1">
      <c r="A247" s="15" t="s">
        <v>492</v>
      </c>
      <c r="B247" s="15" t="s">
        <v>488</v>
      </c>
      <c r="C247" s="14" t="s">
        <v>493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23.25" customHeight="1">
      <c r="A248" s="15" t="s">
        <v>494</v>
      </c>
      <c r="B248" s="15" t="s">
        <v>488</v>
      </c>
      <c r="C248" s="14" t="s">
        <v>495</v>
      </c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23.25" customHeight="1">
      <c r="A249" s="15" t="s">
        <v>496</v>
      </c>
      <c r="B249" s="15" t="s">
        <v>488</v>
      </c>
      <c r="C249" s="14" t="s">
        <v>497</v>
      </c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23.25" customHeight="1">
      <c r="A250" s="15" t="s">
        <v>498</v>
      </c>
      <c r="B250" s="15" t="s">
        <v>488</v>
      </c>
      <c r="C250" s="14" t="s">
        <v>499</v>
      </c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23.25" customHeight="1">
      <c r="A251" s="15" t="s">
        <v>500</v>
      </c>
      <c r="B251" s="15" t="s">
        <v>488</v>
      </c>
      <c r="C251" s="14" t="s">
        <v>501</v>
      </c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23.25" customHeight="1">
      <c r="A252" s="15" t="s">
        <v>502</v>
      </c>
      <c r="B252" s="15" t="s">
        <v>488</v>
      </c>
      <c r="C252" s="14" t="s">
        <v>503</v>
      </c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23.25" customHeight="1">
      <c r="A253" s="15" t="s">
        <v>504</v>
      </c>
      <c r="B253" s="15" t="s">
        <v>488</v>
      </c>
      <c r="C253" s="14" t="s">
        <v>505</v>
      </c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23.25" customHeight="1">
      <c r="A254" s="15" t="s">
        <v>506</v>
      </c>
      <c r="B254" s="15" t="s">
        <v>488</v>
      </c>
      <c r="C254" s="14" t="s">
        <v>507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23.25" customHeight="1">
      <c r="A255" s="15" t="s">
        <v>508</v>
      </c>
      <c r="B255" s="15" t="s">
        <v>488</v>
      </c>
      <c r="C255" s="14" t="s">
        <v>509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23.25" customHeight="1">
      <c r="A256" s="15" t="s">
        <v>510</v>
      </c>
      <c r="B256" s="15" t="s">
        <v>488</v>
      </c>
      <c r="C256" s="14" t="s">
        <v>511</v>
      </c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23.25" customHeight="1">
      <c r="A257" s="15" t="s">
        <v>512</v>
      </c>
      <c r="B257" s="15" t="s">
        <v>488</v>
      </c>
      <c r="C257" s="14" t="s">
        <v>513</v>
      </c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23.25" customHeight="1">
      <c r="A258" s="15" t="s">
        <v>514</v>
      </c>
      <c r="B258" s="15" t="s">
        <v>488</v>
      </c>
      <c r="C258" s="14" t="s">
        <v>515</v>
      </c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23.25" customHeight="1">
      <c r="A259" s="15" t="s">
        <v>516</v>
      </c>
      <c r="B259" s="15" t="s">
        <v>488</v>
      </c>
      <c r="C259" s="14" t="s">
        <v>517</v>
      </c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23.25" customHeight="1">
      <c r="A260" s="15" t="s">
        <v>518</v>
      </c>
      <c r="B260" s="15" t="s">
        <v>488</v>
      </c>
      <c r="C260" s="14" t="s">
        <v>519</v>
      </c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23.25" customHeight="1">
      <c r="A261" s="15" t="s">
        <v>520</v>
      </c>
      <c r="B261" s="15" t="s">
        <v>488</v>
      </c>
      <c r="C261" s="14" t="s">
        <v>521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23.25" customHeight="1">
      <c r="A262" s="15" t="s">
        <v>522</v>
      </c>
      <c r="B262" s="15" t="s">
        <v>488</v>
      </c>
      <c r="C262" s="14" t="s">
        <v>523</v>
      </c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23.25" customHeight="1">
      <c r="A263" s="15" t="s">
        <v>524</v>
      </c>
      <c r="B263" s="15" t="s">
        <v>525</v>
      </c>
      <c r="C263" s="14" t="s">
        <v>526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23.25" customHeight="1">
      <c r="A264" s="15" t="s">
        <v>527</v>
      </c>
      <c r="B264" s="15" t="s">
        <v>525</v>
      </c>
      <c r="C264" s="14" t="s">
        <v>528</v>
      </c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23.25" customHeight="1">
      <c r="A265" s="15" t="s">
        <v>529</v>
      </c>
      <c r="B265" s="15" t="s">
        <v>525</v>
      </c>
      <c r="C265" s="14" t="s">
        <v>530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23.25" customHeight="1">
      <c r="A266" s="15" t="s">
        <v>531</v>
      </c>
      <c r="B266" s="15" t="s">
        <v>525</v>
      </c>
      <c r="C266" s="14" t="s">
        <v>532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23.25" customHeight="1">
      <c r="A267" s="15" t="s">
        <v>533</v>
      </c>
      <c r="B267" s="15" t="s">
        <v>525</v>
      </c>
      <c r="C267" s="14" t="s">
        <v>534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23.25" customHeight="1">
      <c r="A268" s="15" t="s">
        <v>535</v>
      </c>
      <c r="B268" s="15" t="s">
        <v>525</v>
      </c>
      <c r="C268" s="14" t="s">
        <v>536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23.25" customHeight="1">
      <c r="A269" s="15" t="s">
        <v>537</v>
      </c>
      <c r="B269" s="15" t="s">
        <v>525</v>
      </c>
      <c r="C269" s="14" t="s">
        <v>538</v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23.25" customHeight="1">
      <c r="A270" s="15" t="s">
        <v>539</v>
      </c>
      <c r="B270" s="15" t="s">
        <v>525</v>
      </c>
      <c r="C270" s="14" t="s">
        <v>540</v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23.25" customHeight="1">
      <c r="A271" s="15" t="s">
        <v>541</v>
      </c>
      <c r="B271" s="15" t="s">
        <v>525</v>
      </c>
      <c r="C271" s="14" t="s">
        <v>542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23.25" customHeight="1">
      <c r="A272" s="15" t="s">
        <v>543</v>
      </c>
      <c r="B272" s="15" t="s">
        <v>544</v>
      </c>
      <c r="C272" s="14" t="s">
        <v>545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23.25" customHeight="1">
      <c r="A273" s="15" t="s">
        <v>546</v>
      </c>
      <c r="B273" s="15" t="s">
        <v>544</v>
      </c>
      <c r="C273" s="14" t="s">
        <v>547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23.25" customHeight="1">
      <c r="A274" s="15" t="s">
        <v>548</v>
      </c>
      <c r="B274" s="15" t="s">
        <v>544</v>
      </c>
      <c r="C274" s="14" t="s">
        <v>549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23.25" customHeight="1">
      <c r="A275" s="15" t="s">
        <v>550</v>
      </c>
      <c r="B275" s="15" t="s">
        <v>544</v>
      </c>
      <c r="C275" s="14" t="s">
        <v>551</v>
      </c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23.25" customHeight="1">
      <c r="A276" s="15" t="s">
        <v>552</v>
      </c>
      <c r="B276" s="15" t="s">
        <v>544</v>
      </c>
      <c r="C276" s="14" t="s">
        <v>553</v>
      </c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23.25" customHeight="1">
      <c r="A277" s="15" t="s">
        <v>554</v>
      </c>
      <c r="B277" s="15" t="s">
        <v>544</v>
      </c>
      <c r="C277" s="14" t="s">
        <v>555</v>
      </c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23.25" customHeight="1">
      <c r="A278" s="15" t="s">
        <v>556</v>
      </c>
      <c r="B278" s="15" t="s">
        <v>544</v>
      </c>
      <c r="C278" s="14" t="s">
        <v>557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23.25" customHeight="1">
      <c r="A279" s="15" t="s">
        <v>558</v>
      </c>
      <c r="B279" s="15" t="s">
        <v>544</v>
      </c>
      <c r="C279" s="14" t="s">
        <v>559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23.25" customHeight="1">
      <c r="A280" s="15" t="s">
        <v>560</v>
      </c>
      <c r="B280" s="15" t="s">
        <v>561</v>
      </c>
      <c r="C280" s="14" t="s">
        <v>562</v>
      </c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23.25" customHeight="1">
      <c r="A281" s="15" t="s">
        <v>563</v>
      </c>
      <c r="B281" s="15" t="s">
        <v>561</v>
      </c>
      <c r="C281" s="14" t="s">
        <v>564</v>
      </c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23.25" customHeight="1">
      <c r="A282" s="15" t="s">
        <v>565</v>
      </c>
      <c r="B282" s="15" t="s">
        <v>561</v>
      </c>
      <c r="C282" s="14" t="s">
        <v>566</v>
      </c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23.25" customHeight="1">
      <c r="A283" s="15" t="s">
        <v>567</v>
      </c>
      <c r="B283" s="15" t="s">
        <v>561</v>
      </c>
      <c r="C283" s="14" t="s">
        <v>568</v>
      </c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23.25" customHeight="1">
      <c r="A284" s="15" t="s">
        <v>569</v>
      </c>
      <c r="B284" s="15" t="s">
        <v>561</v>
      </c>
      <c r="C284" s="14" t="s">
        <v>570</v>
      </c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23.25" customHeight="1">
      <c r="A285" s="15" t="s">
        <v>571</v>
      </c>
      <c r="B285" s="15" t="s">
        <v>561</v>
      </c>
      <c r="C285" s="14" t="s">
        <v>572</v>
      </c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23.25" customHeight="1">
      <c r="A286" s="15" t="s">
        <v>573</v>
      </c>
      <c r="B286" s="15" t="s">
        <v>561</v>
      </c>
      <c r="C286" s="14" t="s">
        <v>574</v>
      </c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23.25" customHeight="1">
      <c r="A287" s="15" t="s">
        <v>575</v>
      </c>
      <c r="B287" s="15" t="s">
        <v>561</v>
      </c>
      <c r="C287" s="14" t="s">
        <v>576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23.25" customHeight="1">
      <c r="A288" s="15" t="s">
        <v>577</v>
      </c>
      <c r="B288" s="15" t="s">
        <v>561</v>
      </c>
      <c r="C288" s="14" t="s">
        <v>578</v>
      </c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23.25" customHeight="1">
      <c r="A289" s="15" t="s">
        <v>579</v>
      </c>
      <c r="B289" s="15" t="s">
        <v>561</v>
      </c>
      <c r="C289" s="14" t="s">
        <v>580</v>
      </c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23.25" customHeight="1">
      <c r="A290" s="15" t="s">
        <v>581</v>
      </c>
      <c r="B290" s="15" t="s">
        <v>561</v>
      </c>
      <c r="C290" s="14" t="s">
        <v>582</v>
      </c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23.25" customHeight="1">
      <c r="A291" s="15" t="s">
        <v>583</v>
      </c>
      <c r="B291" s="15" t="s">
        <v>584</v>
      </c>
      <c r="C291" s="14" t="s">
        <v>585</v>
      </c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23.25" customHeight="1">
      <c r="A292" s="15" t="s">
        <v>586</v>
      </c>
      <c r="B292" s="15" t="s">
        <v>584</v>
      </c>
      <c r="C292" s="14" t="s">
        <v>587</v>
      </c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3.25" customHeight="1">
      <c r="A293" s="15" t="s">
        <v>588</v>
      </c>
      <c r="B293" s="15" t="s">
        <v>584</v>
      </c>
      <c r="C293" s="14" t="s">
        <v>589</v>
      </c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23.25" customHeight="1">
      <c r="A294" s="15" t="s">
        <v>590</v>
      </c>
      <c r="B294" s="15" t="s">
        <v>584</v>
      </c>
      <c r="C294" s="14" t="s">
        <v>591</v>
      </c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23.25" customHeight="1">
      <c r="A295" s="15" t="s">
        <v>592</v>
      </c>
      <c r="B295" s="15" t="s">
        <v>584</v>
      </c>
      <c r="C295" s="14" t="s">
        <v>593</v>
      </c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23.25" customHeight="1">
      <c r="A296" s="15" t="s">
        <v>594</v>
      </c>
      <c r="B296" s="15" t="s">
        <v>584</v>
      </c>
      <c r="C296" s="14" t="s">
        <v>595</v>
      </c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23.25" customHeight="1">
      <c r="A297" s="15" t="s">
        <v>596</v>
      </c>
      <c r="B297" s="15" t="s">
        <v>584</v>
      </c>
      <c r="C297" s="14" t="s">
        <v>597</v>
      </c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23.25" customHeight="1">
      <c r="A298" s="15" t="s">
        <v>598</v>
      </c>
      <c r="B298" s="15" t="s">
        <v>584</v>
      </c>
      <c r="C298" s="14" t="s">
        <v>599</v>
      </c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23.25" customHeight="1">
      <c r="A299" s="15" t="s">
        <v>600</v>
      </c>
      <c r="B299" s="15" t="s">
        <v>584</v>
      </c>
      <c r="C299" s="14" t="s">
        <v>601</v>
      </c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23.25" customHeight="1">
      <c r="A300" s="15" t="s">
        <v>602</v>
      </c>
      <c r="B300" s="15" t="s">
        <v>584</v>
      </c>
      <c r="C300" s="14" t="s">
        <v>603</v>
      </c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23.25" customHeight="1">
      <c r="A301" s="15" t="s">
        <v>604</v>
      </c>
      <c r="B301" s="15" t="s">
        <v>584</v>
      </c>
      <c r="C301" s="14" t="s">
        <v>605</v>
      </c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23.25" customHeight="1">
      <c r="A302" s="15" t="s">
        <v>606</v>
      </c>
      <c r="B302" s="15" t="s">
        <v>584</v>
      </c>
      <c r="C302" s="14" t="s">
        <v>607</v>
      </c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23.25" customHeight="1">
      <c r="A303" s="15" t="s">
        <v>608</v>
      </c>
      <c r="B303" s="15" t="s">
        <v>584</v>
      </c>
      <c r="C303" s="14" t="s">
        <v>609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23.25" customHeight="1">
      <c r="A304" s="15" t="s">
        <v>610</v>
      </c>
      <c r="B304" s="15" t="s">
        <v>584</v>
      </c>
      <c r="C304" s="14" t="s">
        <v>611</v>
      </c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23.25" customHeight="1">
      <c r="A305" s="15" t="s">
        <v>612</v>
      </c>
      <c r="B305" s="15" t="s">
        <v>584</v>
      </c>
      <c r="C305" s="14" t="s">
        <v>613</v>
      </c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23.25" customHeight="1">
      <c r="A306" s="15" t="s">
        <v>614</v>
      </c>
      <c r="B306" s="15" t="s">
        <v>584</v>
      </c>
      <c r="C306" s="14" t="s">
        <v>615</v>
      </c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3.25" customHeight="1">
      <c r="A307" s="15" t="s">
        <v>616</v>
      </c>
      <c r="B307" s="15" t="s">
        <v>617</v>
      </c>
      <c r="C307" s="14" t="s">
        <v>618</v>
      </c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3.25" customHeight="1">
      <c r="A308" s="15" t="s">
        <v>619</v>
      </c>
      <c r="B308" s="15" t="s">
        <v>617</v>
      </c>
      <c r="C308" s="14" t="s">
        <v>620</v>
      </c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23.25" customHeight="1">
      <c r="A309" s="15" t="s">
        <v>621</v>
      </c>
      <c r="B309" s="15" t="s">
        <v>617</v>
      </c>
      <c r="C309" s="14" t="s">
        <v>622</v>
      </c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23.25" customHeight="1">
      <c r="A310" s="15" t="s">
        <v>623</v>
      </c>
      <c r="B310" s="15" t="s">
        <v>617</v>
      </c>
      <c r="C310" s="14" t="s">
        <v>624</v>
      </c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23.25" customHeight="1">
      <c r="A311" s="15" t="s">
        <v>625</v>
      </c>
      <c r="B311" s="15" t="s">
        <v>617</v>
      </c>
      <c r="C311" s="14" t="s">
        <v>626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23.25" customHeight="1">
      <c r="A312" s="15" t="s">
        <v>627</v>
      </c>
      <c r="B312" s="15" t="s">
        <v>628</v>
      </c>
      <c r="C312" s="14" t="s">
        <v>629</v>
      </c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23.25" customHeight="1">
      <c r="A313" s="15" t="s">
        <v>630</v>
      </c>
      <c r="B313" s="15" t="s">
        <v>628</v>
      </c>
      <c r="C313" s="14" t="s">
        <v>631</v>
      </c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23.25" customHeight="1">
      <c r="A314" s="15" t="s">
        <v>632</v>
      </c>
      <c r="B314" s="15" t="s">
        <v>628</v>
      </c>
      <c r="C314" s="14" t="s">
        <v>633</v>
      </c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23.25" customHeight="1">
      <c r="A315" s="15" t="s">
        <v>634</v>
      </c>
      <c r="B315" s="15" t="s">
        <v>628</v>
      </c>
      <c r="C315" s="14" t="s">
        <v>635</v>
      </c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23.25" customHeight="1">
      <c r="A316" s="15" t="s">
        <v>636</v>
      </c>
      <c r="B316" s="15" t="s">
        <v>628</v>
      </c>
      <c r="C316" s="14" t="s">
        <v>637</v>
      </c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23.25" customHeight="1">
      <c r="A317" s="15" t="s">
        <v>638</v>
      </c>
      <c r="B317" s="15" t="s">
        <v>628</v>
      </c>
      <c r="C317" s="14" t="s">
        <v>639</v>
      </c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23.25" customHeight="1">
      <c r="A318" s="15" t="s">
        <v>640</v>
      </c>
      <c r="B318" s="15" t="s">
        <v>628</v>
      </c>
      <c r="C318" s="14" t="s">
        <v>641</v>
      </c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23.25" customHeight="1">
      <c r="A319" s="15" t="s">
        <v>642</v>
      </c>
      <c r="B319" s="15" t="s">
        <v>628</v>
      </c>
      <c r="C319" s="14" t="s">
        <v>643</v>
      </c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23.25" customHeight="1">
      <c r="A320" s="15" t="s">
        <v>644</v>
      </c>
      <c r="B320" s="15" t="s">
        <v>628</v>
      </c>
      <c r="C320" s="14" t="s">
        <v>645</v>
      </c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23.25" customHeight="1">
      <c r="A321" s="15" t="s">
        <v>646</v>
      </c>
      <c r="B321" s="15" t="s">
        <v>628</v>
      </c>
      <c r="C321" s="14" t="s">
        <v>647</v>
      </c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23.25" customHeight="1">
      <c r="A322" s="15" t="s">
        <v>648</v>
      </c>
      <c r="B322" s="15" t="s">
        <v>628</v>
      </c>
      <c r="C322" s="14" t="s">
        <v>649</v>
      </c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23.25" customHeight="1">
      <c r="A323" s="15" t="s">
        <v>650</v>
      </c>
      <c r="B323" s="15" t="s">
        <v>628</v>
      </c>
      <c r="C323" s="14" t="s">
        <v>651</v>
      </c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23.25" customHeight="1">
      <c r="A324" s="15" t="s">
        <v>652</v>
      </c>
      <c r="B324" s="15" t="s">
        <v>628</v>
      </c>
      <c r="C324" s="14" t="s">
        <v>653</v>
      </c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23.25" customHeight="1">
      <c r="A325" s="15" t="s">
        <v>654</v>
      </c>
      <c r="B325" s="15" t="s">
        <v>628</v>
      </c>
      <c r="C325" s="14" t="s">
        <v>655</v>
      </c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23.25" customHeight="1">
      <c r="A326" s="15" t="s">
        <v>656</v>
      </c>
      <c r="B326" s="15" t="s">
        <v>628</v>
      </c>
      <c r="C326" s="14" t="s">
        <v>657</v>
      </c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23.25" customHeight="1">
      <c r="A327" s="15" t="s">
        <v>658</v>
      </c>
      <c r="B327" s="15" t="s">
        <v>659</v>
      </c>
      <c r="C327" s="14" t="s">
        <v>660</v>
      </c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23.25" customHeight="1">
      <c r="A328" s="15" t="s">
        <v>661</v>
      </c>
      <c r="B328" s="15" t="s">
        <v>659</v>
      </c>
      <c r="C328" s="14" t="s">
        <v>662</v>
      </c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23.25" customHeight="1">
      <c r="A329" s="15" t="s">
        <v>663</v>
      </c>
      <c r="B329" s="15" t="s">
        <v>659</v>
      </c>
      <c r="C329" s="14" t="s">
        <v>664</v>
      </c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23.25" customHeight="1">
      <c r="A330" s="15" t="s">
        <v>665</v>
      </c>
      <c r="B330" s="15" t="s">
        <v>659</v>
      </c>
      <c r="C330" s="14" t="s">
        <v>666</v>
      </c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23.25" customHeight="1">
      <c r="A331" s="15" t="s">
        <v>667</v>
      </c>
      <c r="B331" s="15" t="s">
        <v>659</v>
      </c>
      <c r="C331" s="14" t="s">
        <v>668</v>
      </c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23.25" customHeight="1">
      <c r="A332" s="15" t="s">
        <v>669</v>
      </c>
      <c r="B332" s="15" t="s">
        <v>659</v>
      </c>
      <c r="C332" s="14" t="s">
        <v>670</v>
      </c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23.25" customHeight="1">
      <c r="A333" s="15" t="s">
        <v>671</v>
      </c>
      <c r="B333" s="15" t="s">
        <v>659</v>
      </c>
      <c r="C333" s="14" t="s">
        <v>672</v>
      </c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23.25" customHeight="1">
      <c r="A334" s="15" t="s">
        <v>673</v>
      </c>
      <c r="B334" s="15" t="s">
        <v>659</v>
      </c>
      <c r="C334" s="14" t="s">
        <v>674</v>
      </c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23.25" customHeight="1">
      <c r="A335" s="15" t="s">
        <v>675</v>
      </c>
      <c r="B335" s="15" t="s">
        <v>659</v>
      </c>
      <c r="C335" s="14" t="s">
        <v>676</v>
      </c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23.25" customHeight="1">
      <c r="A336" s="15" t="s">
        <v>677</v>
      </c>
      <c r="B336" s="15" t="s">
        <v>659</v>
      </c>
      <c r="C336" s="14" t="s">
        <v>678</v>
      </c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23.25" customHeight="1">
      <c r="A337" s="15" t="s">
        <v>679</v>
      </c>
      <c r="B337" s="15" t="s">
        <v>659</v>
      </c>
      <c r="C337" s="14" t="s">
        <v>680</v>
      </c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23.25" customHeight="1">
      <c r="A338" s="15" t="s">
        <v>681</v>
      </c>
      <c r="B338" s="15" t="s">
        <v>659</v>
      </c>
      <c r="C338" s="14" t="s">
        <v>682</v>
      </c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23.25" customHeight="1">
      <c r="A339" s="15" t="s">
        <v>683</v>
      </c>
      <c r="B339" s="15" t="s">
        <v>659</v>
      </c>
      <c r="C339" s="14" t="s">
        <v>684</v>
      </c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23.25" customHeight="1">
      <c r="A340" s="15" t="s">
        <v>685</v>
      </c>
      <c r="B340" s="15" t="s">
        <v>659</v>
      </c>
      <c r="C340" s="14" t="s">
        <v>686</v>
      </c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23.25" customHeight="1">
      <c r="A341" s="15" t="s">
        <v>687</v>
      </c>
      <c r="B341" s="15" t="s">
        <v>659</v>
      </c>
      <c r="C341" s="14" t="s">
        <v>688</v>
      </c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23.25" customHeight="1">
      <c r="A342" s="15" t="s">
        <v>689</v>
      </c>
      <c r="B342" s="15" t="s">
        <v>659</v>
      </c>
      <c r="C342" s="14" t="s">
        <v>690</v>
      </c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23.25" customHeight="1">
      <c r="A343" s="15" t="s">
        <v>691</v>
      </c>
      <c r="B343" s="15" t="s">
        <v>659</v>
      </c>
      <c r="C343" s="14" t="s">
        <v>692</v>
      </c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23.25" customHeight="1">
      <c r="A344" s="14" t="s">
        <v>693</v>
      </c>
      <c r="B344" s="15" t="s">
        <v>659</v>
      </c>
      <c r="C344" s="14" t="s">
        <v>694</v>
      </c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23.25" customHeight="1">
      <c r="A345" s="15" t="s">
        <v>695</v>
      </c>
      <c r="B345" s="15" t="s">
        <v>659</v>
      </c>
      <c r="C345" s="14" t="s">
        <v>696</v>
      </c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23.25" customHeight="1">
      <c r="A346" s="14" t="s">
        <v>697</v>
      </c>
      <c r="B346" s="15" t="s">
        <v>659</v>
      </c>
      <c r="C346" s="14" t="s">
        <v>698</v>
      </c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23.25" customHeight="1">
      <c r="A347" s="14" t="s">
        <v>699</v>
      </c>
      <c r="B347" s="15" t="s">
        <v>659</v>
      </c>
      <c r="C347" s="14" t="s">
        <v>700</v>
      </c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23.25" customHeight="1">
      <c r="A348" s="14" t="s">
        <v>701</v>
      </c>
      <c r="B348" s="15" t="s">
        <v>659</v>
      </c>
      <c r="C348" s="14" t="s">
        <v>702</v>
      </c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23.25" customHeight="1">
      <c r="A349" s="14" t="s">
        <v>703</v>
      </c>
      <c r="B349" s="15" t="s">
        <v>659</v>
      </c>
      <c r="C349" s="14" t="s">
        <v>704</v>
      </c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23.25" customHeight="1">
      <c r="A350" s="14" t="s">
        <v>705</v>
      </c>
      <c r="B350" s="15" t="s">
        <v>659</v>
      </c>
      <c r="C350" s="14" t="s">
        <v>706</v>
      </c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23.25" customHeight="1">
      <c r="A351" s="15" t="s">
        <v>707</v>
      </c>
      <c r="B351" s="15" t="s">
        <v>659</v>
      </c>
      <c r="C351" s="14" t="s">
        <v>708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23.25" customHeight="1">
      <c r="A352" s="15" t="s">
        <v>709</v>
      </c>
      <c r="B352" s="15" t="s">
        <v>659</v>
      </c>
      <c r="C352" s="14" t="s">
        <v>710</v>
      </c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23.25" customHeight="1">
      <c r="A353" s="15" t="s">
        <v>711</v>
      </c>
      <c r="B353" s="15" t="s">
        <v>659</v>
      </c>
      <c r="C353" s="14" t="s">
        <v>712</v>
      </c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23.25" customHeight="1">
      <c r="A354" s="15" t="s">
        <v>713</v>
      </c>
      <c r="B354" s="15" t="s">
        <v>659</v>
      </c>
      <c r="C354" s="14" t="s">
        <v>714</v>
      </c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23.25" customHeight="1">
      <c r="A355" s="15" t="s">
        <v>715</v>
      </c>
      <c r="B355" s="15" t="s">
        <v>659</v>
      </c>
      <c r="C355" s="14" t="s">
        <v>716</v>
      </c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23.25" customHeight="1">
      <c r="A356" s="15" t="s">
        <v>717</v>
      </c>
      <c r="B356" s="15" t="s">
        <v>659</v>
      </c>
      <c r="C356" s="14" t="s">
        <v>718</v>
      </c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23.25" customHeight="1">
      <c r="A357" s="15" t="s">
        <v>719</v>
      </c>
      <c r="B357" s="15" t="s">
        <v>659</v>
      </c>
      <c r="C357" s="14" t="s">
        <v>720</v>
      </c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23.25" customHeight="1">
      <c r="A358" s="15" t="s">
        <v>721</v>
      </c>
      <c r="B358" s="15" t="s">
        <v>659</v>
      </c>
      <c r="C358" s="14" t="s">
        <v>722</v>
      </c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23.25" customHeight="1">
      <c r="A359" s="15" t="s">
        <v>723</v>
      </c>
      <c r="B359" s="15" t="s">
        <v>659</v>
      </c>
      <c r="C359" s="14" t="s">
        <v>724</v>
      </c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23.25" customHeight="1">
      <c r="A360" s="15" t="s">
        <v>725</v>
      </c>
      <c r="B360" s="15" t="s">
        <v>659</v>
      </c>
      <c r="C360" s="14" t="s">
        <v>726</v>
      </c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23.25" customHeight="1">
      <c r="A361" s="15" t="s">
        <v>727</v>
      </c>
      <c r="B361" s="15" t="s">
        <v>728</v>
      </c>
      <c r="C361" s="14" t="s">
        <v>729</v>
      </c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23.25" customHeight="1">
      <c r="A362" s="15" t="s">
        <v>730</v>
      </c>
      <c r="B362" s="15" t="s">
        <v>728</v>
      </c>
      <c r="C362" s="14" t="s">
        <v>731</v>
      </c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23.25" customHeight="1">
      <c r="A363" s="15" t="s">
        <v>732</v>
      </c>
      <c r="B363" s="15" t="s">
        <v>728</v>
      </c>
      <c r="C363" s="14" t="s">
        <v>733</v>
      </c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23.25" customHeight="1">
      <c r="A364" s="15" t="s">
        <v>734</v>
      </c>
      <c r="B364" s="15" t="s">
        <v>728</v>
      </c>
      <c r="C364" s="14" t="s">
        <v>735</v>
      </c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23.25" customHeight="1">
      <c r="A365" s="15" t="s">
        <v>736</v>
      </c>
      <c r="B365" s="15" t="s">
        <v>728</v>
      </c>
      <c r="C365" s="14" t="s">
        <v>737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23.25" customHeight="1">
      <c r="A366" s="15" t="s">
        <v>738</v>
      </c>
      <c r="B366" s="15" t="s">
        <v>728</v>
      </c>
      <c r="C366" s="14" t="s">
        <v>739</v>
      </c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23.25" customHeight="1">
      <c r="A367" s="15" t="s">
        <v>740</v>
      </c>
      <c r="B367" s="15" t="s">
        <v>728</v>
      </c>
      <c r="C367" s="14" t="s">
        <v>741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23.25" customHeight="1">
      <c r="A368" s="15" t="s">
        <v>742</v>
      </c>
      <c r="B368" s="15" t="s">
        <v>728</v>
      </c>
      <c r="C368" s="14" t="s">
        <v>743</v>
      </c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23.25" customHeight="1">
      <c r="A369" s="15" t="s">
        <v>744</v>
      </c>
      <c r="B369" s="15" t="s">
        <v>728</v>
      </c>
      <c r="C369" s="14" t="s">
        <v>745</v>
      </c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23.25" customHeight="1">
      <c r="A370" s="15" t="s">
        <v>746</v>
      </c>
      <c r="B370" s="15" t="s">
        <v>728</v>
      </c>
      <c r="C370" s="14" t="s">
        <v>747</v>
      </c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23.25" customHeight="1">
      <c r="A371" s="15" t="s">
        <v>748</v>
      </c>
      <c r="B371" s="15" t="s">
        <v>749</v>
      </c>
      <c r="C371" s="14" t="s">
        <v>750</v>
      </c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23.25" customHeight="1">
      <c r="A372" s="15" t="s">
        <v>751</v>
      </c>
      <c r="B372" s="15" t="s">
        <v>749</v>
      </c>
      <c r="C372" s="14" t="s">
        <v>752</v>
      </c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23.25" customHeight="1">
      <c r="A373" s="15" t="s">
        <v>753</v>
      </c>
      <c r="B373" s="15" t="s">
        <v>749</v>
      </c>
      <c r="C373" s="14" t="s">
        <v>754</v>
      </c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23.25" customHeight="1">
      <c r="A374" s="15" t="s">
        <v>755</v>
      </c>
      <c r="B374" s="15" t="s">
        <v>749</v>
      </c>
      <c r="C374" s="14" t="s">
        <v>756</v>
      </c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23.25" customHeight="1">
      <c r="A375" s="15" t="s">
        <v>757</v>
      </c>
      <c r="B375" s="15" t="s">
        <v>749</v>
      </c>
      <c r="C375" s="14" t="s">
        <v>758</v>
      </c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23.25" customHeight="1">
      <c r="A376" s="15" t="s">
        <v>759</v>
      </c>
      <c r="B376" s="15" t="s">
        <v>749</v>
      </c>
      <c r="C376" s="14" t="s">
        <v>760</v>
      </c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23.25" customHeight="1">
      <c r="A377" s="15" t="s">
        <v>761</v>
      </c>
      <c r="B377" s="15" t="s">
        <v>749</v>
      </c>
      <c r="C377" s="14" t="s">
        <v>762</v>
      </c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23.25" customHeight="1">
      <c r="A378" s="15" t="s">
        <v>763</v>
      </c>
      <c r="B378" s="15" t="s">
        <v>749</v>
      </c>
      <c r="C378" s="14" t="s">
        <v>764</v>
      </c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3.25" customHeight="1">
      <c r="A379" s="15" t="s">
        <v>765</v>
      </c>
      <c r="B379" s="15" t="s">
        <v>749</v>
      </c>
      <c r="C379" s="14" t="s">
        <v>766</v>
      </c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23.25" customHeight="1">
      <c r="A380" s="15" t="s">
        <v>767</v>
      </c>
      <c r="B380" s="15" t="s">
        <v>749</v>
      </c>
      <c r="C380" s="14" t="s">
        <v>768</v>
      </c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23.25" customHeight="1">
      <c r="A381" s="15" t="s">
        <v>769</v>
      </c>
      <c r="B381" s="15" t="s">
        <v>770</v>
      </c>
      <c r="C381" s="14" t="s">
        <v>771</v>
      </c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23.25" customHeight="1">
      <c r="A382" s="15" t="s">
        <v>772</v>
      </c>
      <c r="B382" s="15" t="s">
        <v>770</v>
      </c>
      <c r="C382" s="14" t="s">
        <v>773</v>
      </c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23.25" customHeight="1">
      <c r="A383" s="15" t="s">
        <v>774</v>
      </c>
      <c r="B383" s="15" t="s">
        <v>775</v>
      </c>
      <c r="C383" s="14" t="s">
        <v>776</v>
      </c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23.25" customHeight="1">
      <c r="A384" s="15" t="s">
        <v>777</v>
      </c>
      <c r="B384" s="15" t="s">
        <v>775</v>
      </c>
      <c r="C384" s="14" t="s">
        <v>778</v>
      </c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23.25" customHeight="1">
      <c r="A385" s="15" t="s">
        <v>779</v>
      </c>
      <c r="B385" s="15" t="s">
        <v>780</v>
      </c>
      <c r="C385" s="14" t="s">
        <v>781</v>
      </c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23.25" customHeight="1">
      <c r="A386" s="15" t="s">
        <v>782</v>
      </c>
      <c r="B386" s="15" t="s">
        <v>780</v>
      </c>
      <c r="C386" s="14" t="s">
        <v>783</v>
      </c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23.25" customHeight="1">
      <c r="A387" s="15" t="s">
        <v>784</v>
      </c>
      <c r="B387" s="15" t="s">
        <v>780</v>
      </c>
      <c r="C387" s="14" t="s">
        <v>785</v>
      </c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23.25" customHeight="1">
      <c r="A388" s="15" t="s">
        <v>786</v>
      </c>
      <c r="B388" s="15" t="s">
        <v>780</v>
      </c>
      <c r="C388" s="14" t="s">
        <v>787</v>
      </c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23.25" customHeight="1">
      <c r="A389" s="15" t="s">
        <v>788</v>
      </c>
      <c r="B389" s="15" t="s">
        <v>789</v>
      </c>
      <c r="C389" s="14" t="s">
        <v>790</v>
      </c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23.25" customHeight="1">
      <c r="A390" s="15" t="s">
        <v>791</v>
      </c>
      <c r="B390" s="15" t="s">
        <v>789</v>
      </c>
      <c r="C390" s="14" t="s">
        <v>792</v>
      </c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23.25" customHeight="1">
      <c r="A391" s="15" t="s">
        <v>793</v>
      </c>
      <c r="B391" s="15" t="s">
        <v>789</v>
      </c>
      <c r="C391" s="14" t="s">
        <v>794</v>
      </c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23.25" customHeight="1">
      <c r="A392" s="15" t="s">
        <v>795</v>
      </c>
      <c r="B392" s="15" t="s">
        <v>789</v>
      </c>
      <c r="C392" s="14" t="s">
        <v>796</v>
      </c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23.25" customHeight="1">
      <c r="A393" s="15" t="s">
        <v>797</v>
      </c>
      <c r="B393" s="15" t="s">
        <v>789</v>
      </c>
      <c r="C393" s="14" t="s">
        <v>798</v>
      </c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23.25" customHeight="1">
      <c r="A394" s="15" t="s">
        <v>799</v>
      </c>
      <c r="B394" s="15" t="s">
        <v>800</v>
      </c>
      <c r="C394" s="14" t="s">
        <v>801</v>
      </c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23.25" customHeight="1">
      <c r="A395" s="15" t="s">
        <v>802</v>
      </c>
      <c r="B395" s="15" t="s">
        <v>800</v>
      </c>
      <c r="C395" s="14" t="s">
        <v>803</v>
      </c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23.25" customHeight="1">
      <c r="A396" s="15" t="s">
        <v>804</v>
      </c>
      <c r="B396" s="15" t="s">
        <v>800</v>
      </c>
      <c r="C396" s="14" t="s">
        <v>805</v>
      </c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23.25" customHeight="1">
      <c r="A397" s="15" t="s">
        <v>806</v>
      </c>
      <c r="B397" s="15" t="s">
        <v>800</v>
      </c>
      <c r="C397" s="14" t="s">
        <v>807</v>
      </c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23.25" customHeight="1">
      <c r="A398" s="15" t="s">
        <v>808</v>
      </c>
      <c r="B398" s="15" t="s">
        <v>800</v>
      </c>
      <c r="C398" s="14" t="s">
        <v>809</v>
      </c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23.25" customHeight="1">
      <c r="A399" s="15" t="s">
        <v>810</v>
      </c>
      <c r="B399" s="15" t="s">
        <v>800</v>
      </c>
      <c r="C399" s="14" t="s">
        <v>811</v>
      </c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23.25" customHeight="1">
      <c r="A400" s="15" t="s">
        <v>812</v>
      </c>
      <c r="B400" s="15" t="s">
        <v>813</v>
      </c>
      <c r="C400" s="14" t="s">
        <v>814</v>
      </c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23.25" customHeight="1">
      <c r="A401" s="15" t="s">
        <v>815</v>
      </c>
      <c r="B401" s="15" t="s">
        <v>813</v>
      </c>
      <c r="C401" s="14" t="s">
        <v>816</v>
      </c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23.25" customHeight="1">
      <c r="A402" s="15" t="s">
        <v>817</v>
      </c>
      <c r="B402" s="15" t="s">
        <v>813</v>
      </c>
      <c r="C402" s="14" t="s">
        <v>818</v>
      </c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23.25" customHeight="1">
      <c r="A403" s="15" t="s">
        <v>819</v>
      </c>
      <c r="B403" s="15" t="s">
        <v>813</v>
      </c>
      <c r="C403" s="14" t="s">
        <v>820</v>
      </c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23.25" customHeight="1">
      <c r="A404" s="15" t="s">
        <v>821</v>
      </c>
      <c r="B404" s="15" t="s">
        <v>813</v>
      </c>
      <c r="C404" s="14" t="s">
        <v>822</v>
      </c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23.25" customHeight="1">
      <c r="A405" s="15" t="s">
        <v>823</v>
      </c>
      <c r="B405" s="15" t="s">
        <v>813</v>
      </c>
      <c r="C405" s="14" t="s">
        <v>824</v>
      </c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23.25" customHeight="1">
      <c r="A406" s="15" t="s">
        <v>825</v>
      </c>
      <c r="B406" s="15" t="s">
        <v>826</v>
      </c>
      <c r="C406" s="14" t="s">
        <v>827</v>
      </c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23.25" customHeight="1">
      <c r="A407" s="15" t="s">
        <v>828</v>
      </c>
      <c r="B407" s="15" t="s">
        <v>826</v>
      </c>
      <c r="C407" s="14" t="s">
        <v>829</v>
      </c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23.25" customHeight="1">
      <c r="A408" s="15" t="s">
        <v>830</v>
      </c>
      <c r="B408" s="15" t="s">
        <v>826</v>
      </c>
      <c r="C408" s="14" t="s">
        <v>831</v>
      </c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23.25" customHeight="1">
      <c r="A409" s="15" t="s">
        <v>832</v>
      </c>
      <c r="B409" s="15" t="s">
        <v>826</v>
      </c>
      <c r="C409" s="14" t="s">
        <v>833</v>
      </c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23.25" customHeight="1">
      <c r="A410" s="15" t="s">
        <v>834</v>
      </c>
      <c r="B410" s="15" t="s">
        <v>826</v>
      </c>
      <c r="C410" s="14" t="s">
        <v>835</v>
      </c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23.25" customHeight="1">
      <c r="A411" s="15" t="s">
        <v>836</v>
      </c>
      <c r="B411" s="15" t="s">
        <v>826</v>
      </c>
      <c r="C411" s="14" t="s">
        <v>837</v>
      </c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23.25" customHeight="1">
      <c r="A412" s="15" t="s">
        <v>838</v>
      </c>
      <c r="B412" s="15" t="s">
        <v>839</v>
      </c>
      <c r="C412" s="14" t="s">
        <v>840</v>
      </c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23.25" customHeight="1">
      <c r="A413" s="15" t="s">
        <v>841</v>
      </c>
      <c r="B413" s="15" t="s">
        <v>839</v>
      </c>
      <c r="C413" s="14" t="s">
        <v>842</v>
      </c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23.25" customHeight="1">
      <c r="A414" s="15" t="s">
        <v>843</v>
      </c>
      <c r="B414" s="15" t="s">
        <v>839</v>
      </c>
      <c r="C414" s="14" t="s">
        <v>844</v>
      </c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23.25" customHeight="1">
      <c r="A415" s="15" t="s">
        <v>845</v>
      </c>
      <c r="B415" s="15" t="s">
        <v>839</v>
      </c>
      <c r="C415" s="14" t="s">
        <v>846</v>
      </c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23.25" customHeight="1">
      <c r="A416" s="15" t="s">
        <v>847</v>
      </c>
      <c r="B416" s="15" t="s">
        <v>848</v>
      </c>
      <c r="C416" s="14" t="s">
        <v>849</v>
      </c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23.25" customHeight="1">
      <c r="A417" s="15" t="s">
        <v>850</v>
      </c>
      <c r="B417" s="15" t="s">
        <v>848</v>
      </c>
      <c r="C417" s="14" t="s">
        <v>851</v>
      </c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23.25" customHeight="1">
      <c r="A418" s="15" t="s">
        <v>852</v>
      </c>
      <c r="B418" s="15" t="s">
        <v>848</v>
      </c>
      <c r="C418" s="14" t="s">
        <v>853</v>
      </c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23.25" customHeight="1">
      <c r="A419" s="15" t="s">
        <v>854</v>
      </c>
      <c r="B419" s="15" t="s">
        <v>855</v>
      </c>
      <c r="C419" s="14" t="s">
        <v>856</v>
      </c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23.25" customHeight="1">
      <c r="A420" s="15" t="s">
        <v>857</v>
      </c>
      <c r="B420" s="15" t="s">
        <v>855</v>
      </c>
      <c r="C420" s="14" t="s">
        <v>858</v>
      </c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23.25" customHeight="1">
      <c r="A421" s="15" t="s">
        <v>859</v>
      </c>
      <c r="B421" s="15" t="s">
        <v>855</v>
      </c>
      <c r="C421" s="14" t="s">
        <v>860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23.25" customHeight="1">
      <c r="A422" s="15" t="s">
        <v>861</v>
      </c>
      <c r="B422" s="15" t="s">
        <v>862</v>
      </c>
      <c r="C422" s="14" t="s">
        <v>863</v>
      </c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23.25" customHeight="1">
      <c r="A423" s="15" t="s">
        <v>864</v>
      </c>
      <c r="B423" s="15" t="s">
        <v>862</v>
      </c>
      <c r="C423" s="14" t="s">
        <v>865</v>
      </c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23.25" customHeight="1">
      <c r="A424" s="15" t="s">
        <v>866</v>
      </c>
      <c r="B424" s="15" t="s">
        <v>862</v>
      </c>
      <c r="C424" s="14" t="s">
        <v>867</v>
      </c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23.25" customHeight="1">
      <c r="A425" s="15" t="s">
        <v>868</v>
      </c>
      <c r="B425" s="15" t="s">
        <v>862</v>
      </c>
      <c r="C425" s="14" t="s">
        <v>869</v>
      </c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23.25" customHeight="1">
      <c r="A426" s="15" t="s">
        <v>870</v>
      </c>
      <c r="B426" s="15" t="s">
        <v>862</v>
      </c>
      <c r="C426" s="14" t="s">
        <v>871</v>
      </c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23.25" customHeight="1">
      <c r="A427" s="15" t="s">
        <v>872</v>
      </c>
      <c r="B427" s="15" t="s">
        <v>862</v>
      </c>
      <c r="C427" s="14" t="s">
        <v>873</v>
      </c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23.25" customHeight="1">
      <c r="A428" s="15" t="s">
        <v>874</v>
      </c>
      <c r="B428" s="15" t="s">
        <v>862</v>
      </c>
      <c r="C428" s="14" t="s">
        <v>875</v>
      </c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23.25" customHeight="1">
      <c r="A429" s="15" t="s">
        <v>876</v>
      </c>
      <c r="B429" s="15" t="s">
        <v>877</v>
      </c>
      <c r="C429" s="14" t="s">
        <v>878</v>
      </c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23.25" customHeight="1">
      <c r="A430" s="15" t="s">
        <v>879</v>
      </c>
      <c r="B430" s="15" t="s">
        <v>877</v>
      </c>
      <c r="C430" s="14" t="s">
        <v>880</v>
      </c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23.25" customHeight="1">
      <c r="A431" s="15" t="s">
        <v>881</v>
      </c>
      <c r="B431" s="15" t="s">
        <v>877</v>
      </c>
      <c r="C431" s="14" t="s">
        <v>882</v>
      </c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23.25" customHeight="1">
      <c r="A432" s="15" t="s">
        <v>883</v>
      </c>
      <c r="B432" s="15" t="s">
        <v>877</v>
      </c>
      <c r="C432" s="14" t="s">
        <v>884</v>
      </c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23.25" customHeight="1">
      <c r="A433" s="15" t="s">
        <v>885</v>
      </c>
      <c r="B433" s="15" t="s">
        <v>886</v>
      </c>
      <c r="C433" s="14" t="s">
        <v>887</v>
      </c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23.25" customHeight="1">
      <c r="A434" s="15" t="s">
        <v>888</v>
      </c>
      <c r="B434" s="15" t="s">
        <v>889</v>
      </c>
      <c r="C434" s="14" t="s">
        <v>890</v>
      </c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23.25" customHeight="1">
      <c r="A435" s="15" t="s">
        <v>891</v>
      </c>
      <c r="B435" s="15" t="s">
        <v>889</v>
      </c>
      <c r="C435" s="14" t="s">
        <v>892</v>
      </c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23.25" customHeight="1">
      <c r="A436" s="15" t="s">
        <v>893</v>
      </c>
      <c r="B436" s="15" t="s">
        <v>889</v>
      </c>
      <c r="C436" s="14" t="s">
        <v>894</v>
      </c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23.25" customHeight="1">
      <c r="A437" s="15" t="s">
        <v>895</v>
      </c>
      <c r="B437" s="15" t="s">
        <v>896</v>
      </c>
      <c r="C437" s="14" t="s">
        <v>897</v>
      </c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23.25" customHeight="1">
      <c r="A438" s="15" t="s">
        <v>898</v>
      </c>
      <c r="B438" s="15" t="s">
        <v>896</v>
      </c>
      <c r="C438" s="14" t="s">
        <v>899</v>
      </c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23.25" customHeight="1">
      <c r="A439" s="15" t="s">
        <v>900</v>
      </c>
      <c r="B439" s="15" t="s">
        <v>896</v>
      </c>
      <c r="C439" s="14" t="s">
        <v>901</v>
      </c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23.25" customHeight="1">
      <c r="A440" s="15" t="s">
        <v>902</v>
      </c>
      <c r="B440" s="15" t="s">
        <v>896</v>
      </c>
      <c r="C440" s="14" t="s">
        <v>903</v>
      </c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23.25" customHeight="1">
      <c r="A441" s="15" t="s">
        <v>904</v>
      </c>
      <c r="B441" s="15" t="s">
        <v>896</v>
      </c>
      <c r="C441" s="14" t="s">
        <v>905</v>
      </c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23.25" customHeight="1">
      <c r="A442" s="15" t="s">
        <v>906</v>
      </c>
      <c r="B442" s="15" t="s">
        <v>896</v>
      </c>
      <c r="C442" s="14" t="s">
        <v>907</v>
      </c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23.25" customHeight="1">
      <c r="A443" s="15" t="s">
        <v>908</v>
      </c>
      <c r="B443" s="15" t="s">
        <v>896</v>
      </c>
      <c r="C443" s="14" t="s">
        <v>909</v>
      </c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23.25" customHeight="1">
      <c r="A444" s="15" t="s">
        <v>910</v>
      </c>
      <c r="B444" s="15" t="s">
        <v>896</v>
      </c>
      <c r="C444" s="14" t="s">
        <v>911</v>
      </c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23.25" customHeight="1">
      <c r="A445" s="15" t="s">
        <v>912</v>
      </c>
      <c r="B445" s="15" t="s">
        <v>896</v>
      </c>
      <c r="C445" s="14" t="s">
        <v>913</v>
      </c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23.25" customHeight="1">
      <c r="A446" s="15" t="s">
        <v>914</v>
      </c>
      <c r="B446" s="15" t="s">
        <v>896</v>
      </c>
      <c r="C446" s="14" t="s">
        <v>915</v>
      </c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23.25" customHeight="1">
      <c r="A447" s="15" t="s">
        <v>916</v>
      </c>
      <c r="B447" s="15" t="s">
        <v>896</v>
      </c>
      <c r="C447" s="14" t="s">
        <v>917</v>
      </c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23.25" customHeight="1">
      <c r="A448" s="15" t="s">
        <v>918</v>
      </c>
      <c r="B448" s="15" t="s">
        <v>896</v>
      </c>
      <c r="C448" s="14" t="s">
        <v>919</v>
      </c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23.25" customHeight="1">
      <c r="A449" s="15" t="s">
        <v>920</v>
      </c>
      <c r="B449" s="15" t="s">
        <v>921</v>
      </c>
      <c r="C449" s="14" t="s">
        <v>922</v>
      </c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23.25" customHeight="1">
      <c r="A450" s="15" t="s">
        <v>923</v>
      </c>
      <c r="B450" s="15" t="s">
        <v>921</v>
      </c>
      <c r="C450" s="14" t="s">
        <v>924</v>
      </c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23.25" customHeight="1">
      <c r="A451" s="15" t="s">
        <v>925</v>
      </c>
      <c r="B451" s="15" t="s">
        <v>921</v>
      </c>
      <c r="C451" s="14" t="s">
        <v>926</v>
      </c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23.25" customHeight="1">
      <c r="A452" s="15" t="s">
        <v>927</v>
      </c>
      <c r="B452" s="15" t="s">
        <v>921</v>
      </c>
      <c r="C452" s="14" t="s">
        <v>928</v>
      </c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23.25" customHeight="1">
      <c r="A453" s="15" t="s">
        <v>929</v>
      </c>
      <c r="B453" s="15" t="s">
        <v>921</v>
      </c>
      <c r="C453" s="14" t="s">
        <v>930</v>
      </c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23.25" customHeight="1">
      <c r="A454" s="15" t="s">
        <v>931</v>
      </c>
      <c r="B454" s="15" t="s">
        <v>932</v>
      </c>
      <c r="C454" s="14" t="s">
        <v>933</v>
      </c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23.25" customHeight="1">
      <c r="A455" s="15" t="s">
        <v>934</v>
      </c>
      <c r="B455" s="15" t="s">
        <v>932</v>
      </c>
      <c r="C455" s="14" t="s">
        <v>935</v>
      </c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23.25" customHeight="1">
      <c r="A456" s="15" t="s">
        <v>936</v>
      </c>
      <c r="B456" s="15" t="s">
        <v>932</v>
      </c>
      <c r="C456" s="14" t="s">
        <v>937</v>
      </c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23.25" customHeight="1">
      <c r="A457" s="15" t="s">
        <v>938</v>
      </c>
      <c r="B457" s="15" t="s">
        <v>932</v>
      </c>
      <c r="C457" s="14" t="s">
        <v>939</v>
      </c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23.25" customHeight="1">
      <c r="A458" s="15" t="s">
        <v>940</v>
      </c>
      <c r="B458" s="15" t="s">
        <v>932</v>
      </c>
      <c r="C458" s="14" t="s">
        <v>941</v>
      </c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23.25" customHeight="1">
      <c r="A459" s="15" t="s">
        <v>942</v>
      </c>
      <c r="B459" s="15" t="s">
        <v>943</v>
      </c>
      <c r="C459" s="14" t="s">
        <v>944</v>
      </c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23.25" customHeight="1">
      <c r="A460" s="15" t="s">
        <v>945</v>
      </c>
      <c r="B460" s="15" t="s">
        <v>943</v>
      </c>
      <c r="C460" s="14" t="s">
        <v>946</v>
      </c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23.25" customHeight="1">
      <c r="A461" s="15" t="s">
        <v>947</v>
      </c>
      <c r="B461" s="15" t="s">
        <v>943</v>
      </c>
      <c r="C461" s="14" t="s">
        <v>948</v>
      </c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23.25" customHeight="1">
      <c r="A462" s="15" t="s">
        <v>949</v>
      </c>
      <c r="B462" s="15" t="s">
        <v>950</v>
      </c>
      <c r="C462" s="14" t="s">
        <v>951</v>
      </c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23.25" customHeight="1">
      <c r="A463" s="15" t="s">
        <v>952</v>
      </c>
      <c r="B463" s="15" t="s">
        <v>950</v>
      </c>
      <c r="C463" s="14" t="s">
        <v>953</v>
      </c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23.25" customHeight="1">
      <c r="A464" s="15" t="s">
        <v>954</v>
      </c>
      <c r="B464" s="15" t="s">
        <v>943</v>
      </c>
      <c r="C464" s="14" t="s">
        <v>955</v>
      </c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23.25" customHeight="1">
      <c r="A465" s="15" t="s">
        <v>956</v>
      </c>
      <c r="B465" s="15" t="s">
        <v>943</v>
      </c>
      <c r="C465" s="14" t="s">
        <v>957</v>
      </c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23.25" customHeight="1">
      <c r="A466" s="15" t="s">
        <v>958</v>
      </c>
      <c r="B466" s="15" t="s">
        <v>943</v>
      </c>
      <c r="C466" s="14" t="s">
        <v>959</v>
      </c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23.25" customHeight="1">
      <c r="A467" s="15" t="s">
        <v>960</v>
      </c>
      <c r="B467" s="15" t="s">
        <v>943</v>
      </c>
      <c r="C467" s="14" t="s">
        <v>961</v>
      </c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23.25" customHeight="1">
      <c r="A468" s="15" t="s">
        <v>962</v>
      </c>
      <c r="B468" s="15" t="s">
        <v>950</v>
      </c>
      <c r="C468" s="14" t="s">
        <v>963</v>
      </c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23.25" customHeight="1">
      <c r="A469" s="15" t="s">
        <v>964</v>
      </c>
      <c r="B469" s="15" t="s">
        <v>950</v>
      </c>
      <c r="C469" s="14" t="s">
        <v>965</v>
      </c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23.25" customHeight="1">
      <c r="A470" s="15" t="s">
        <v>966</v>
      </c>
      <c r="B470" s="15" t="s">
        <v>950</v>
      </c>
      <c r="C470" s="14" t="s">
        <v>967</v>
      </c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23.25" customHeight="1">
      <c r="A471" s="15" t="s">
        <v>968</v>
      </c>
      <c r="B471" s="15" t="s">
        <v>950</v>
      </c>
      <c r="C471" s="14" t="s">
        <v>969</v>
      </c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23.25" customHeight="1">
      <c r="A472" s="15" t="s">
        <v>970</v>
      </c>
      <c r="B472" s="15" t="s">
        <v>950</v>
      </c>
      <c r="C472" s="14" t="s">
        <v>971</v>
      </c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23.25" customHeight="1">
      <c r="A473" s="15" t="s">
        <v>972</v>
      </c>
      <c r="B473" s="15" t="s">
        <v>950</v>
      </c>
      <c r="C473" s="14" t="s">
        <v>973</v>
      </c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23.25" customHeight="1">
      <c r="A474" s="15" t="s">
        <v>974</v>
      </c>
      <c r="B474" s="15" t="s">
        <v>950</v>
      </c>
      <c r="C474" s="14" t="s">
        <v>975</v>
      </c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23.25" customHeight="1">
      <c r="A475" s="15" t="s">
        <v>976</v>
      </c>
      <c r="B475" s="15" t="s">
        <v>977</v>
      </c>
      <c r="C475" s="14" t="s">
        <v>978</v>
      </c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23.25" customHeight="1">
      <c r="A476" s="15" t="s">
        <v>979</v>
      </c>
      <c r="B476" s="15" t="s">
        <v>977</v>
      </c>
      <c r="C476" s="14" t="s">
        <v>980</v>
      </c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23.25" customHeight="1">
      <c r="A477" s="15" t="s">
        <v>981</v>
      </c>
      <c r="B477" s="15" t="s">
        <v>977</v>
      </c>
      <c r="C477" s="14" t="s">
        <v>982</v>
      </c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23.25" customHeight="1">
      <c r="A478" s="15" t="s">
        <v>983</v>
      </c>
      <c r="B478" s="15" t="s">
        <v>977</v>
      </c>
      <c r="C478" s="14" t="s">
        <v>984</v>
      </c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23.25" customHeight="1">
      <c r="A479" s="15" t="s">
        <v>985</v>
      </c>
      <c r="B479" s="15" t="s">
        <v>977</v>
      </c>
      <c r="C479" s="14" t="s">
        <v>986</v>
      </c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23.25" customHeight="1">
      <c r="A480" s="15" t="s">
        <v>987</v>
      </c>
      <c r="B480" s="15" t="s">
        <v>977</v>
      </c>
      <c r="C480" s="14" t="s">
        <v>988</v>
      </c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23.25" customHeight="1">
      <c r="A481" s="15" t="s">
        <v>989</v>
      </c>
      <c r="B481" s="15" t="s">
        <v>977</v>
      </c>
      <c r="C481" s="14" t="s">
        <v>990</v>
      </c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23.25" customHeight="1">
      <c r="A482" s="15" t="s">
        <v>991</v>
      </c>
      <c r="B482" s="15" t="s">
        <v>977</v>
      </c>
      <c r="C482" s="14" t="s">
        <v>992</v>
      </c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23.25" customHeight="1">
      <c r="A483" s="15" t="s">
        <v>993</v>
      </c>
      <c r="B483" s="15" t="s">
        <v>977</v>
      </c>
      <c r="C483" s="14" t="s">
        <v>994</v>
      </c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23.25" customHeight="1">
      <c r="A484" s="15" t="s">
        <v>995</v>
      </c>
      <c r="B484" s="15" t="s">
        <v>977</v>
      </c>
      <c r="C484" s="14" t="s">
        <v>996</v>
      </c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23.25" customHeight="1">
      <c r="A485" s="15" t="s">
        <v>997</v>
      </c>
      <c r="B485" s="15" t="s">
        <v>977</v>
      </c>
      <c r="C485" s="14" t="s">
        <v>998</v>
      </c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23.25" customHeight="1">
      <c r="A486" s="15" t="s">
        <v>999</v>
      </c>
      <c r="B486" s="15" t="s">
        <v>1000</v>
      </c>
      <c r="C486" s="14" t="s">
        <v>1001</v>
      </c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23.25" customHeight="1">
      <c r="A487" s="15" t="s">
        <v>1002</v>
      </c>
      <c r="B487" s="15" t="s">
        <v>1003</v>
      </c>
      <c r="C487" s="14" t="s">
        <v>1004</v>
      </c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23.25" customHeight="1">
      <c r="A488" s="15" t="s">
        <v>1005</v>
      </c>
      <c r="B488" s="15" t="s">
        <v>1003</v>
      </c>
      <c r="C488" s="14" t="s">
        <v>1006</v>
      </c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23.25" customHeight="1">
      <c r="A489" s="15" t="s">
        <v>1007</v>
      </c>
      <c r="B489" s="15" t="s">
        <v>1003</v>
      </c>
      <c r="C489" s="14" t="s">
        <v>1008</v>
      </c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23.25" customHeight="1">
      <c r="A490" s="15" t="s">
        <v>1009</v>
      </c>
      <c r="B490" s="15" t="s">
        <v>1003</v>
      </c>
      <c r="C490" s="14" t="s">
        <v>1010</v>
      </c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23.25" customHeight="1">
      <c r="A491" s="15" t="s">
        <v>1011</v>
      </c>
      <c r="B491" s="15" t="s">
        <v>1003</v>
      </c>
      <c r="C491" s="14" t="s">
        <v>1012</v>
      </c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23.25" customHeight="1">
      <c r="A492" s="15" t="s">
        <v>1013</v>
      </c>
      <c r="B492" s="15" t="s">
        <v>1003</v>
      </c>
      <c r="C492" s="14" t="s">
        <v>1014</v>
      </c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23.25" customHeight="1">
      <c r="A493" s="15" t="s">
        <v>1015</v>
      </c>
      <c r="B493" s="15" t="s">
        <v>1003</v>
      </c>
      <c r="C493" s="14" t="s">
        <v>1016</v>
      </c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23.25" customHeight="1">
      <c r="A494" s="15" t="s">
        <v>1017</v>
      </c>
      <c r="B494" s="15" t="s">
        <v>1018</v>
      </c>
      <c r="C494" s="14" t="s">
        <v>1019</v>
      </c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23.25" customHeight="1">
      <c r="A495" s="15" t="s">
        <v>1020</v>
      </c>
      <c r="B495" s="15" t="s">
        <v>1018</v>
      </c>
      <c r="C495" s="14" t="s">
        <v>1021</v>
      </c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23.25" customHeight="1">
      <c r="A496" s="15" t="s">
        <v>1022</v>
      </c>
      <c r="B496" s="15" t="s">
        <v>1018</v>
      </c>
      <c r="C496" s="14" t="s">
        <v>1023</v>
      </c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23.25" customHeight="1">
      <c r="A497" s="15" t="s">
        <v>1024</v>
      </c>
      <c r="B497" s="15" t="s">
        <v>1018</v>
      </c>
      <c r="C497" s="14" t="s">
        <v>1025</v>
      </c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23.25" customHeight="1">
      <c r="A498" s="15" t="s">
        <v>1026</v>
      </c>
      <c r="B498" s="15" t="s">
        <v>1027</v>
      </c>
      <c r="C498" s="14" t="s">
        <v>1028</v>
      </c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23.25" customHeight="1">
      <c r="A499" s="15" t="s">
        <v>1029</v>
      </c>
      <c r="B499" s="15" t="s">
        <v>1027</v>
      </c>
      <c r="C499" s="14" t="s">
        <v>1030</v>
      </c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23.25" customHeight="1">
      <c r="A500" s="15" t="s">
        <v>1031</v>
      </c>
      <c r="B500" s="15" t="s">
        <v>1027</v>
      </c>
      <c r="C500" s="14" t="s">
        <v>1032</v>
      </c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23.25" customHeight="1">
      <c r="A501" s="15" t="s">
        <v>1033</v>
      </c>
      <c r="B501" s="15" t="s">
        <v>1034</v>
      </c>
      <c r="C501" s="14" t="s">
        <v>1035</v>
      </c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23.25" customHeight="1">
      <c r="A502" s="15" t="s">
        <v>1036</v>
      </c>
      <c r="B502" s="15" t="s">
        <v>1034</v>
      </c>
      <c r="C502" s="14" t="s">
        <v>1037</v>
      </c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23.25" customHeight="1">
      <c r="A503" s="15" t="s">
        <v>1038</v>
      </c>
      <c r="B503" s="15" t="s">
        <v>1039</v>
      </c>
      <c r="C503" s="14" t="s">
        <v>1040</v>
      </c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23.25" customHeight="1">
      <c r="A504" s="15" t="s">
        <v>1041</v>
      </c>
      <c r="B504" s="15" t="s">
        <v>1039</v>
      </c>
      <c r="C504" s="14" t="s">
        <v>1042</v>
      </c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23.25" customHeight="1">
      <c r="A505" s="15" t="s">
        <v>1043</v>
      </c>
      <c r="B505" s="15" t="s">
        <v>1039</v>
      </c>
      <c r="C505" s="14" t="s">
        <v>1044</v>
      </c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23.25" customHeight="1">
      <c r="A506" s="15" t="s">
        <v>1045</v>
      </c>
      <c r="B506" s="15" t="s">
        <v>1039</v>
      </c>
      <c r="C506" s="14" t="s">
        <v>1046</v>
      </c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23.25" customHeight="1">
      <c r="A507" s="15" t="s">
        <v>1047</v>
      </c>
      <c r="B507" s="15" t="s">
        <v>1039</v>
      </c>
      <c r="C507" s="14" t="s">
        <v>1048</v>
      </c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23.25" customHeight="1">
      <c r="A508" s="15" t="s">
        <v>1049</v>
      </c>
      <c r="B508" s="15" t="s">
        <v>1039</v>
      </c>
      <c r="C508" s="14" t="s">
        <v>1050</v>
      </c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23.25" customHeight="1">
      <c r="A509" s="15" t="s">
        <v>1051</v>
      </c>
      <c r="B509" s="15" t="s">
        <v>1039</v>
      </c>
      <c r="C509" s="14" t="s">
        <v>1052</v>
      </c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23.25" customHeight="1">
      <c r="A510" s="15" t="s">
        <v>1053</v>
      </c>
      <c r="B510" s="15" t="s">
        <v>1039</v>
      </c>
      <c r="C510" s="14" t="s">
        <v>1054</v>
      </c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23.25" customHeight="1">
      <c r="A511" s="15" t="s">
        <v>1055</v>
      </c>
      <c r="B511" s="15" t="s">
        <v>1039</v>
      </c>
      <c r="C511" s="14" t="s">
        <v>1056</v>
      </c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23.25" customHeight="1">
      <c r="A512" s="15" t="s">
        <v>1057</v>
      </c>
      <c r="B512" s="15" t="s">
        <v>1039</v>
      </c>
      <c r="C512" s="14" t="s">
        <v>1058</v>
      </c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23.25" customHeight="1">
      <c r="A513" s="15" t="s">
        <v>1059</v>
      </c>
      <c r="B513" s="15" t="s">
        <v>1060</v>
      </c>
      <c r="C513" s="14" t="s">
        <v>1061</v>
      </c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23.25" customHeight="1">
      <c r="A514" s="15" t="s">
        <v>1062</v>
      </c>
      <c r="B514" s="15" t="s">
        <v>1063</v>
      </c>
      <c r="C514" s="14" t="s">
        <v>1064</v>
      </c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23.25" customHeight="1">
      <c r="A515" s="15" t="s">
        <v>1065</v>
      </c>
      <c r="B515" s="15" t="s">
        <v>1063</v>
      </c>
      <c r="C515" s="14" t="s">
        <v>1066</v>
      </c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23.25" customHeight="1">
      <c r="A516" s="15" t="s">
        <v>1067</v>
      </c>
      <c r="B516" s="15" t="s">
        <v>1063</v>
      </c>
      <c r="C516" s="14" t="s">
        <v>1068</v>
      </c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23.25" customHeight="1">
      <c r="A517" s="15" t="s">
        <v>1069</v>
      </c>
      <c r="B517" s="15" t="s">
        <v>1063</v>
      </c>
      <c r="C517" s="14" t="s">
        <v>1070</v>
      </c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23.25" customHeight="1">
      <c r="A518" s="15" t="s">
        <v>1071</v>
      </c>
      <c r="B518" s="15" t="s">
        <v>1063</v>
      </c>
      <c r="C518" s="14" t="s">
        <v>1072</v>
      </c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23.25" customHeight="1">
      <c r="A519" s="15" t="s">
        <v>1073</v>
      </c>
      <c r="B519" s="15" t="s">
        <v>1074</v>
      </c>
      <c r="C519" s="14" t="s">
        <v>1075</v>
      </c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23.25" customHeight="1">
      <c r="A520" s="15" t="s">
        <v>1076</v>
      </c>
      <c r="B520" s="15" t="s">
        <v>1074</v>
      </c>
      <c r="C520" s="14" t="s">
        <v>1077</v>
      </c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23.25" customHeight="1">
      <c r="A521" s="15" t="s">
        <v>1078</v>
      </c>
      <c r="B521" s="15" t="s">
        <v>1079</v>
      </c>
      <c r="C521" s="14" t="s">
        <v>1080</v>
      </c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23.25" customHeight="1">
      <c r="A522" s="15" t="s">
        <v>1081</v>
      </c>
      <c r="B522" s="15" t="s">
        <v>1079</v>
      </c>
      <c r="C522" s="14" t="s">
        <v>1082</v>
      </c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23.25" customHeight="1">
      <c r="A523" s="15" t="s">
        <v>1083</v>
      </c>
      <c r="B523" s="15" t="s">
        <v>1079</v>
      </c>
      <c r="C523" s="14" t="s">
        <v>1084</v>
      </c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23.25" customHeight="1">
      <c r="A524" s="15" t="s">
        <v>1085</v>
      </c>
      <c r="B524" s="15" t="s">
        <v>1079</v>
      </c>
      <c r="C524" s="14" t="s">
        <v>1086</v>
      </c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23.25" customHeight="1">
      <c r="A525" s="15" t="s">
        <v>1087</v>
      </c>
      <c r="B525" s="15" t="s">
        <v>1079</v>
      </c>
      <c r="C525" s="14" t="s">
        <v>1088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23.25" customHeight="1">
      <c r="A526" s="15" t="s">
        <v>1089</v>
      </c>
      <c r="B526" s="15" t="s">
        <v>1079</v>
      </c>
      <c r="C526" s="14" t="s">
        <v>1090</v>
      </c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23.25" customHeight="1">
      <c r="A527" s="15" t="s">
        <v>1091</v>
      </c>
      <c r="B527" s="15" t="s">
        <v>1079</v>
      </c>
      <c r="C527" s="14" t="s">
        <v>1092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23.25" customHeight="1">
      <c r="A528" s="15" t="s">
        <v>1093</v>
      </c>
      <c r="B528" s="15" t="s">
        <v>1079</v>
      </c>
      <c r="C528" s="14" t="s">
        <v>1094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23.25" customHeight="1">
      <c r="A529" s="15" t="s">
        <v>1095</v>
      </c>
      <c r="B529" s="15" t="s">
        <v>1079</v>
      </c>
      <c r="C529" s="14" t="s">
        <v>1096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23.25" customHeight="1">
      <c r="A530" s="15" t="s">
        <v>1097</v>
      </c>
      <c r="B530" s="15" t="s">
        <v>1098</v>
      </c>
      <c r="C530" s="14" t="s">
        <v>1099</v>
      </c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23.25" customHeight="1">
      <c r="A531" s="15" t="s">
        <v>1100</v>
      </c>
      <c r="B531" s="15" t="s">
        <v>1098</v>
      </c>
      <c r="C531" s="14" t="s">
        <v>1101</v>
      </c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23.25" customHeight="1">
      <c r="A532" s="15" t="s">
        <v>1102</v>
      </c>
      <c r="B532" s="15" t="s">
        <v>1098</v>
      </c>
      <c r="C532" s="14" t="s">
        <v>1103</v>
      </c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23.25" customHeight="1">
      <c r="A533" s="15" t="s">
        <v>1104</v>
      </c>
      <c r="B533" s="15" t="s">
        <v>1098</v>
      </c>
      <c r="C533" s="14" t="s">
        <v>1105</v>
      </c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23.25" customHeight="1">
      <c r="A534" s="15" t="s">
        <v>1106</v>
      </c>
      <c r="B534" s="15" t="s">
        <v>1098</v>
      </c>
      <c r="C534" s="14" t="s">
        <v>1107</v>
      </c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23.25" customHeight="1">
      <c r="A535" s="15" t="s">
        <v>1108</v>
      </c>
      <c r="B535" s="15" t="s">
        <v>1098</v>
      </c>
      <c r="C535" s="14" t="s">
        <v>1109</v>
      </c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23.25" customHeight="1">
      <c r="A536" s="15" t="s">
        <v>1110</v>
      </c>
      <c r="B536" s="15" t="s">
        <v>1098</v>
      </c>
      <c r="C536" s="14" t="s">
        <v>1111</v>
      </c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23.25" customHeight="1">
      <c r="A537" s="15" t="s">
        <v>1112</v>
      </c>
      <c r="B537" s="15" t="s">
        <v>1098</v>
      </c>
      <c r="C537" s="14" t="s">
        <v>1113</v>
      </c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23.25" customHeight="1">
      <c r="A538" s="15" t="s">
        <v>1114</v>
      </c>
      <c r="B538" s="15" t="s">
        <v>1098</v>
      </c>
      <c r="C538" s="14" t="s">
        <v>1115</v>
      </c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23.25" customHeight="1">
      <c r="A539" s="15" t="s">
        <v>1116</v>
      </c>
      <c r="B539" s="15" t="s">
        <v>1098</v>
      </c>
      <c r="C539" s="14" t="s">
        <v>1117</v>
      </c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23.25" customHeight="1">
      <c r="A540" s="15" t="s">
        <v>1118</v>
      </c>
      <c r="B540" s="15" t="s">
        <v>1098</v>
      </c>
      <c r="C540" s="14" t="s">
        <v>1119</v>
      </c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23.25" customHeight="1">
      <c r="A541" s="15" t="s">
        <v>1120</v>
      </c>
      <c r="B541" s="15" t="s">
        <v>1098</v>
      </c>
      <c r="C541" s="14" t="s">
        <v>1121</v>
      </c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23.25" customHeight="1">
      <c r="A542" s="15" t="s">
        <v>1122</v>
      </c>
      <c r="B542" s="15" t="s">
        <v>1098</v>
      </c>
      <c r="C542" s="14" t="s">
        <v>1123</v>
      </c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23.25" customHeight="1">
      <c r="A543" s="15" t="s">
        <v>1124</v>
      </c>
      <c r="B543" s="15" t="s">
        <v>1098</v>
      </c>
      <c r="C543" s="14" t="s">
        <v>1125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23.25" customHeight="1">
      <c r="A544" s="15" t="s">
        <v>1126</v>
      </c>
      <c r="B544" s="15" t="s">
        <v>1098</v>
      </c>
      <c r="C544" s="14" t="s">
        <v>1127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23.25" customHeight="1">
      <c r="A545" s="15" t="s">
        <v>1128</v>
      </c>
      <c r="B545" s="15" t="s">
        <v>1098</v>
      </c>
      <c r="C545" s="14" t="s">
        <v>1129</v>
      </c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23.25" customHeight="1">
      <c r="A546" s="15" t="s">
        <v>1130</v>
      </c>
      <c r="B546" s="15" t="s">
        <v>1131</v>
      </c>
      <c r="C546" s="14" t="s">
        <v>1132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23.25" customHeight="1">
      <c r="A547" s="15" t="s">
        <v>1133</v>
      </c>
      <c r="B547" s="15" t="s">
        <v>1131</v>
      </c>
      <c r="C547" s="14" t="s">
        <v>1134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23.25" customHeight="1">
      <c r="A548" s="15" t="s">
        <v>1135</v>
      </c>
      <c r="B548" s="15" t="s">
        <v>1131</v>
      </c>
      <c r="C548" s="14" t="s">
        <v>1136</v>
      </c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23.25" customHeight="1">
      <c r="A549" s="15" t="s">
        <v>1137</v>
      </c>
      <c r="B549" s="15" t="s">
        <v>1131</v>
      </c>
      <c r="C549" s="14" t="s">
        <v>1138</v>
      </c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23.25" customHeight="1">
      <c r="A550" s="15" t="s">
        <v>1139</v>
      </c>
      <c r="B550" s="15" t="s">
        <v>1140</v>
      </c>
      <c r="C550" s="14" t="s">
        <v>1141</v>
      </c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23.25" customHeight="1">
      <c r="A551" s="15" t="s">
        <v>1142</v>
      </c>
      <c r="B551" s="15" t="s">
        <v>1140</v>
      </c>
      <c r="C551" s="14" t="s">
        <v>1143</v>
      </c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23.25" customHeight="1">
      <c r="A552" s="15" t="s">
        <v>1144</v>
      </c>
      <c r="B552" s="15" t="s">
        <v>1140</v>
      </c>
      <c r="C552" s="14" t="s">
        <v>1145</v>
      </c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23.25" customHeight="1">
      <c r="A553" s="15" t="s">
        <v>1146</v>
      </c>
      <c r="B553" s="15" t="s">
        <v>1140</v>
      </c>
      <c r="C553" s="14" t="s">
        <v>1147</v>
      </c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23.25" customHeight="1">
      <c r="A554" s="15" t="s">
        <v>1148</v>
      </c>
      <c r="B554" s="15" t="s">
        <v>1140</v>
      </c>
      <c r="C554" s="14" t="s">
        <v>1149</v>
      </c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23.25" customHeight="1">
      <c r="A555" s="15" t="s">
        <v>1150</v>
      </c>
      <c r="B555" s="15" t="s">
        <v>1140</v>
      </c>
      <c r="C555" s="14" t="s">
        <v>1151</v>
      </c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23.25" customHeight="1">
      <c r="A556" s="15" t="s">
        <v>1152</v>
      </c>
      <c r="B556" s="15" t="s">
        <v>1153</v>
      </c>
      <c r="C556" s="14" t="s">
        <v>1154</v>
      </c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23.25" customHeight="1">
      <c r="A557" s="15" t="s">
        <v>1155</v>
      </c>
      <c r="B557" s="15" t="s">
        <v>1153</v>
      </c>
      <c r="C557" s="14" t="s">
        <v>1156</v>
      </c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23.25" customHeight="1">
      <c r="A558" s="15" t="s">
        <v>1157</v>
      </c>
      <c r="B558" s="15" t="s">
        <v>1153</v>
      </c>
      <c r="C558" s="14" t="s">
        <v>1158</v>
      </c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23.25" customHeight="1">
      <c r="A559" s="15" t="s">
        <v>1159</v>
      </c>
      <c r="B559" s="15" t="s">
        <v>1153</v>
      </c>
      <c r="C559" s="14" t="s">
        <v>1160</v>
      </c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23.25" customHeight="1">
      <c r="A560" s="15" t="s">
        <v>1161</v>
      </c>
      <c r="B560" s="15" t="s">
        <v>1153</v>
      </c>
      <c r="C560" s="14" t="s">
        <v>1162</v>
      </c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23.25" customHeight="1">
      <c r="A561" s="15" t="s">
        <v>1163</v>
      </c>
      <c r="B561" s="15" t="s">
        <v>1153</v>
      </c>
      <c r="C561" s="14" t="s">
        <v>1164</v>
      </c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23.25" customHeight="1">
      <c r="A562" s="15" t="s">
        <v>1165</v>
      </c>
      <c r="B562" s="15" t="s">
        <v>1153</v>
      </c>
      <c r="C562" s="14" t="s">
        <v>1166</v>
      </c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23.25" customHeight="1">
      <c r="A563" s="15" t="s">
        <v>1167</v>
      </c>
      <c r="B563" s="15" t="s">
        <v>1153</v>
      </c>
      <c r="C563" s="14" t="s">
        <v>1168</v>
      </c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23.25" customHeight="1">
      <c r="A564" s="15" t="s">
        <v>1169</v>
      </c>
      <c r="B564" s="15" t="s">
        <v>1153</v>
      </c>
      <c r="C564" s="14" t="s">
        <v>1170</v>
      </c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23.25" customHeight="1">
      <c r="A565" s="15" t="s">
        <v>1171</v>
      </c>
      <c r="B565" s="15" t="s">
        <v>1153</v>
      </c>
      <c r="C565" s="14" t="s">
        <v>1172</v>
      </c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23.25" customHeight="1">
      <c r="A566" s="15" t="s">
        <v>1173</v>
      </c>
      <c r="B566" s="15" t="s">
        <v>1153</v>
      </c>
      <c r="C566" s="14" t="s">
        <v>1174</v>
      </c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23.25" customHeight="1">
      <c r="A567" s="15" t="s">
        <v>1175</v>
      </c>
      <c r="B567" s="15" t="s">
        <v>1153</v>
      </c>
      <c r="C567" s="14" t="s">
        <v>1176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23.25" customHeight="1">
      <c r="A568" s="15" t="s">
        <v>1177</v>
      </c>
      <c r="B568" s="15" t="s">
        <v>1178</v>
      </c>
      <c r="C568" s="14" t="s">
        <v>1179</v>
      </c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23.25" customHeight="1">
      <c r="A569" s="15" t="s">
        <v>1180</v>
      </c>
      <c r="B569" s="15" t="s">
        <v>1178</v>
      </c>
      <c r="C569" s="14" t="s">
        <v>1181</v>
      </c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23.25" customHeight="1">
      <c r="A570" s="15" t="s">
        <v>1182</v>
      </c>
      <c r="B570" s="15" t="s">
        <v>1178</v>
      </c>
      <c r="C570" s="14" t="s">
        <v>1183</v>
      </c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23.25" customHeight="1">
      <c r="A571" s="15" t="s">
        <v>1184</v>
      </c>
      <c r="B571" s="15" t="s">
        <v>1178</v>
      </c>
      <c r="C571" s="14" t="s">
        <v>1185</v>
      </c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23.25" customHeight="1">
      <c r="A572" s="15" t="s">
        <v>1186</v>
      </c>
      <c r="B572" s="15" t="s">
        <v>1178</v>
      </c>
      <c r="C572" s="14" t="s">
        <v>1187</v>
      </c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23.25" customHeight="1">
      <c r="A573" s="15" t="s">
        <v>1188</v>
      </c>
      <c r="B573" s="15" t="s">
        <v>1189</v>
      </c>
      <c r="C573" s="14" t="s">
        <v>1190</v>
      </c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23.25" customHeight="1">
      <c r="A574" s="15" t="s">
        <v>1191</v>
      </c>
      <c r="B574" s="15" t="s">
        <v>1189</v>
      </c>
      <c r="C574" s="14" t="s">
        <v>1192</v>
      </c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23.25" customHeight="1">
      <c r="A575" s="15" t="s">
        <v>1193</v>
      </c>
      <c r="B575" s="15" t="s">
        <v>1189</v>
      </c>
      <c r="C575" s="14" t="s">
        <v>1194</v>
      </c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23.25" customHeight="1">
      <c r="A576" s="15" t="s">
        <v>1195</v>
      </c>
      <c r="B576" s="15" t="s">
        <v>1189</v>
      </c>
      <c r="C576" s="14" t="s">
        <v>1196</v>
      </c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23.25" customHeight="1">
      <c r="A577" s="15" t="s">
        <v>1197</v>
      </c>
      <c r="B577" s="15" t="s">
        <v>1189</v>
      </c>
      <c r="C577" s="14" t="s">
        <v>1198</v>
      </c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23.25" customHeight="1">
      <c r="A578" s="15" t="s">
        <v>1199</v>
      </c>
      <c r="B578" s="15" t="s">
        <v>1189</v>
      </c>
      <c r="C578" s="14" t="s">
        <v>1200</v>
      </c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23.25" customHeight="1">
      <c r="A579" s="15" t="s">
        <v>723</v>
      </c>
      <c r="B579" s="15" t="s">
        <v>1189</v>
      </c>
      <c r="C579" s="14" t="s">
        <v>1201</v>
      </c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23.25" customHeight="1">
      <c r="A580" s="15" t="s">
        <v>1202</v>
      </c>
      <c r="B580" s="15" t="s">
        <v>1189</v>
      </c>
      <c r="C580" s="14" t="s">
        <v>1203</v>
      </c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23.25" customHeight="1">
      <c r="A581" s="15" t="s">
        <v>1204</v>
      </c>
      <c r="B581" s="15" t="s">
        <v>1189</v>
      </c>
      <c r="C581" s="14" t="s">
        <v>1205</v>
      </c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23.25" customHeight="1">
      <c r="A582" s="15" t="s">
        <v>1206</v>
      </c>
      <c r="B582" s="15" t="s">
        <v>1189</v>
      </c>
      <c r="C582" s="14" t="s">
        <v>1207</v>
      </c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23.25" customHeight="1">
      <c r="A583" s="15" t="s">
        <v>1208</v>
      </c>
      <c r="B583" s="15" t="s">
        <v>1209</v>
      </c>
      <c r="C583" s="14" t="s">
        <v>1210</v>
      </c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23.25" customHeight="1">
      <c r="A584" s="15" t="s">
        <v>1211</v>
      </c>
      <c r="B584" s="15" t="s">
        <v>1209</v>
      </c>
      <c r="C584" s="14" t="s">
        <v>1212</v>
      </c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23.25" customHeight="1">
      <c r="A585" s="15" t="s">
        <v>1213</v>
      </c>
      <c r="B585" s="15" t="s">
        <v>1209</v>
      </c>
      <c r="C585" s="14" t="s">
        <v>1214</v>
      </c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23.25" customHeight="1">
      <c r="A586" s="15" t="s">
        <v>1215</v>
      </c>
      <c r="B586" s="15" t="s">
        <v>1209</v>
      </c>
      <c r="C586" s="14" t="s">
        <v>1216</v>
      </c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23.25" customHeight="1">
      <c r="A587" s="15" t="s">
        <v>1217</v>
      </c>
      <c r="B587" s="15" t="s">
        <v>1218</v>
      </c>
      <c r="C587" s="14" t="s">
        <v>1219</v>
      </c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23.25" customHeight="1">
      <c r="A588" s="15" t="s">
        <v>1220</v>
      </c>
      <c r="B588" s="15" t="s">
        <v>1218</v>
      </c>
      <c r="C588" s="14" t="s">
        <v>1221</v>
      </c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23.25" customHeight="1">
      <c r="A589" s="15" t="s">
        <v>1222</v>
      </c>
      <c r="B589" s="15" t="s">
        <v>1218</v>
      </c>
      <c r="C589" s="14" t="s">
        <v>1223</v>
      </c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23.25" customHeight="1">
      <c r="A590" s="15" t="s">
        <v>1224</v>
      </c>
      <c r="B590" s="15" t="s">
        <v>1218</v>
      </c>
      <c r="C590" s="14" t="s">
        <v>1225</v>
      </c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23.25" customHeight="1">
      <c r="A591" s="15" t="s">
        <v>1226</v>
      </c>
      <c r="B591" s="15" t="s">
        <v>1218</v>
      </c>
      <c r="C591" s="14" t="s">
        <v>1227</v>
      </c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23.25" customHeight="1">
      <c r="A592" s="15" t="s">
        <v>1228</v>
      </c>
      <c r="B592" s="15" t="s">
        <v>1229</v>
      </c>
      <c r="C592" s="14" t="s">
        <v>1230</v>
      </c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23.25" customHeight="1">
      <c r="A593" s="15" t="s">
        <v>1231</v>
      </c>
      <c r="B593" s="15" t="s">
        <v>1229</v>
      </c>
      <c r="C593" s="14" t="s">
        <v>1232</v>
      </c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23.25" customHeight="1">
      <c r="A594" s="15" t="s">
        <v>1233</v>
      </c>
      <c r="B594" s="15" t="s">
        <v>1229</v>
      </c>
      <c r="C594" s="14" t="s">
        <v>1234</v>
      </c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23.25" customHeight="1">
      <c r="A595" s="15" t="s">
        <v>1235</v>
      </c>
      <c r="B595" s="15" t="s">
        <v>1229</v>
      </c>
      <c r="C595" s="14" t="s">
        <v>1236</v>
      </c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23.25" customHeight="1">
      <c r="A596" s="15" t="s">
        <v>1237</v>
      </c>
      <c r="B596" s="15" t="s">
        <v>1229</v>
      </c>
      <c r="C596" s="14" t="s">
        <v>1238</v>
      </c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23.25" customHeight="1">
      <c r="A597" s="15" t="s">
        <v>1239</v>
      </c>
      <c r="B597" s="15" t="s">
        <v>1229</v>
      </c>
      <c r="C597" s="14" t="s">
        <v>1240</v>
      </c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23.25" customHeight="1">
      <c r="A598" s="15" t="s">
        <v>1241</v>
      </c>
      <c r="B598" s="15" t="s">
        <v>1229</v>
      </c>
      <c r="C598" s="14" t="s">
        <v>1242</v>
      </c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23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23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23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23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23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23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23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23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23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23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23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23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23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23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23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23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23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23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23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23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23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23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23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23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23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23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23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23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23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23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23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23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23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23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23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23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23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23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23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23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23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23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23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23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23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23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23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23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23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23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23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23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23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23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23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23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23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23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23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23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23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23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23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23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23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23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23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23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23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23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23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23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23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23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23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23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23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23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23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23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23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23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23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23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23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23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23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23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23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23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23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23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23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23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23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23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23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23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23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23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23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23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23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23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23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23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3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23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23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23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23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23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23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23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23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23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23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23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23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23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23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23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23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23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23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23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23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23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23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23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23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23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23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23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23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23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23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23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23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23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23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23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23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23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23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23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23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23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23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23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23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23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23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23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23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23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23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23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23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23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23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23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23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23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23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23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23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23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23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23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23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23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23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23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23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23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23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23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23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23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23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23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23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23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23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23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23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23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23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23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23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23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23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23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23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23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23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23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23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23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23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23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23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23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23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23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23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23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23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23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23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23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23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23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23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23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23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23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23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23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23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23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23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23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23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23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23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23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23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23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23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23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23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23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23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23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23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23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23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23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23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23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23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23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23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23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23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23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23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23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23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23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23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23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23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23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23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23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23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23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23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23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23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23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23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23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23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23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23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23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23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23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23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23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23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23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23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23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23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23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23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23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23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23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23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23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23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23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23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23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23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23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23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23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23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23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23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23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23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23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23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23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23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23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23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23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23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23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23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23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23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23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23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23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23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23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23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23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23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23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23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23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23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23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23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23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23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23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23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23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23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23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23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23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23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23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23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23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23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23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23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23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23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23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23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23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23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23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23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23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23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23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23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23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23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23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23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23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23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23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23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23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23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23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23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23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23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23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23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23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23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23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23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23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23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23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23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23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23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23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23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23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23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23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23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23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23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23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23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23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23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23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23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23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23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23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23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23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23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23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23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23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rightToLeft="1" zoomScaleNormal="100" workbookViewId="0"/>
  </sheetViews>
  <sheetFormatPr defaultColWidth="14.44140625" defaultRowHeight="14.4"/>
  <cols>
    <col min="1" max="1" width="59.44140625" customWidth="1"/>
    <col min="2" max="2" width="26.44140625" customWidth="1"/>
    <col min="3" max="3" width="17.44140625" customWidth="1"/>
    <col min="4" max="6" width="9.109375" hidden="1" customWidth="1"/>
    <col min="7" max="26" width="8.6640625" customWidth="1"/>
  </cols>
  <sheetData>
    <row r="1" spans="1:26" ht="26.25" customHeight="1">
      <c r="A1" s="16" t="s">
        <v>0</v>
      </c>
      <c r="B1" s="17" t="s">
        <v>1</v>
      </c>
      <c r="C1" s="17" t="s">
        <v>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6.25" customHeight="1">
      <c r="A2" s="18" t="s">
        <v>1243</v>
      </c>
      <c r="B2" s="15" t="s">
        <v>1244</v>
      </c>
      <c r="C2" s="14" t="s">
        <v>1245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6.25" customHeight="1">
      <c r="A3" s="18" t="s">
        <v>1246</v>
      </c>
      <c r="B3" s="15" t="s">
        <v>1244</v>
      </c>
      <c r="C3" s="14" t="s">
        <v>1247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6.25" customHeight="1">
      <c r="A4" s="18" t="s">
        <v>1248</v>
      </c>
      <c r="B4" s="15" t="s">
        <v>1244</v>
      </c>
      <c r="C4" s="14" t="s">
        <v>1249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6.25" customHeight="1">
      <c r="A5" s="18" t="s">
        <v>1250</v>
      </c>
      <c r="B5" s="15" t="s">
        <v>1244</v>
      </c>
      <c r="C5" s="14" t="s">
        <v>1251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6.25" customHeight="1">
      <c r="A6" s="18" t="s">
        <v>1252</v>
      </c>
      <c r="B6" s="15" t="s">
        <v>1244</v>
      </c>
      <c r="C6" s="14" t="s">
        <v>1253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6.25" customHeight="1">
      <c r="A7" s="18" t="s">
        <v>1254</v>
      </c>
      <c r="B7" s="15" t="s">
        <v>1244</v>
      </c>
      <c r="C7" s="14" t="s">
        <v>1255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6.25" customHeight="1">
      <c r="A8" s="18" t="s">
        <v>1256</v>
      </c>
      <c r="B8" s="15" t="s">
        <v>1244</v>
      </c>
      <c r="C8" s="14" t="s">
        <v>1257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6.25" customHeight="1">
      <c r="A9" s="18" t="s">
        <v>1258</v>
      </c>
      <c r="B9" s="15" t="s">
        <v>1244</v>
      </c>
      <c r="C9" s="14" t="s">
        <v>1259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6.25" customHeight="1">
      <c r="A10" s="18" t="s">
        <v>1260</v>
      </c>
      <c r="B10" s="15" t="s">
        <v>1244</v>
      </c>
      <c r="C10" s="14" t="s">
        <v>1261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6.25" customHeight="1">
      <c r="A11" s="18" t="s">
        <v>1262</v>
      </c>
      <c r="B11" s="15" t="s">
        <v>1244</v>
      </c>
      <c r="C11" s="14" t="s">
        <v>1263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6.25" customHeight="1">
      <c r="A12" s="18" t="s">
        <v>1264</v>
      </c>
      <c r="B12" s="15" t="s">
        <v>1244</v>
      </c>
      <c r="C12" s="14" t="s">
        <v>1265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6.25" customHeight="1">
      <c r="A13" s="18" t="s">
        <v>1266</v>
      </c>
      <c r="B13" s="15" t="s">
        <v>1244</v>
      </c>
      <c r="C13" s="14" t="s">
        <v>1267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6.25" customHeight="1">
      <c r="A14" s="18" t="s">
        <v>1268</v>
      </c>
      <c r="B14" s="15" t="s">
        <v>1244</v>
      </c>
      <c r="C14" s="14" t="s">
        <v>1269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6.25" customHeight="1">
      <c r="A15" s="18" t="s">
        <v>1270</v>
      </c>
      <c r="B15" s="15" t="s">
        <v>1244</v>
      </c>
      <c r="C15" s="14" t="s">
        <v>1271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6.25" customHeight="1">
      <c r="A16" s="18" t="s">
        <v>1272</v>
      </c>
      <c r="B16" s="15" t="s">
        <v>1244</v>
      </c>
      <c r="C16" s="14" t="s">
        <v>1273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6.25" customHeight="1">
      <c r="A17" s="18" t="s">
        <v>1274</v>
      </c>
      <c r="B17" s="15" t="s">
        <v>1244</v>
      </c>
      <c r="C17" s="14" t="s">
        <v>1275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6.25" customHeight="1">
      <c r="A18" s="18" t="s">
        <v>1276</v>
      </c>
      <c r="B18" s="15" t="s">
        <v>1244</v>
      </c>
      <c r="C18" s="14" t="s">
        <v>1277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6.25" customHeight="1">
      <c r="A19" s="18" t="s">
        <v>1278</v>
      </c>
      <c r="B19" s="15" t="s">
        <v>1244</v>
      </c>
      <c r="C19" s="14" t="s">
        <v>1279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6.25" customHeight="1">
      <c r="A20" s="18" t="s">
        <v>1280</v>
      </c>
      <c r="B20" s="15" t="s">
        <v>1244</v>
      </c>
      <c r="C20" s="14" t="s">
        <v>1281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6.25" customHeight="1">
      <c r="A21" s="18" t="s">
        <v>1282</v>
      </c>
      <c r="B21" s="15" t="s">
        <v>1244</v>
      </c>
      <c r="C21" s="14" t="s">
        <v>1283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6.25" customHeight="1">
      <c r="A22" s="18" t="s">
        <v>1284</v>
      </c>
      <c r="B22" s="15" t="s">
        <v>1244</v>
      </c>
      <c r="C22" s="14" t="s">
        <v>1285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6.25" customHeight="1">
      <c r="A23" s="18" t="s">
        <v>1286</v>
      </c>
      <c r="B23" s="15" t="s">
        <v>1244</v>
      </c>
      <c r="C23" s="14" t="s">
        <v>1287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6.25" customHeight="1">
      <c r="A24" s="18" t="s">
        <v>1288</v>
      </c>
      <c r="B24" s="15" t="s">
        <v>1244</v>
      </c>
      <c r="C24" s="14" t="s">
        <v>1289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6.25" customHeight="1">
      <c r="A25" s="18" t="s">
        <v>1290</v>
      </c>
      <c r="B25" s="15" t="s">
        <v>1244</v>
      </c>
      <c r="C25" s="14" t="s">
        <v>1291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6.25" customHeight="1">
      <c r="A26" s="18" t="s">
        <v>1292</v>
      </c>
      <c r="B26" s="15" t="s">
        <v>1244</v>
      </c>
      <c r="C26" s="14" t="s">
        <v>1293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6.25" customHeight="1">
      <c r="A27" s="18" t="s">
        <v>1294</v>
      </c>
      <c r="B27" s="15" t="s">
        <v>1244</v>
      </c>
      <c r="C27" s="14" t="s">
        <v>1295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6.25" customHeight="1">
      <c r="A28" s="18" t="s">
        <v>1296</v>
      </c>
      <c r="B28" s="15" t="s">
        <v>1244</v>
      </c>
      <c r="C28" s="14" t="s">
        <v>1297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6.25" customHeight="1">
      <c r="A29" s="18" t="s">
        <v>1298</v>
      </c>
      <c r="B29" s="15" t="s">
        <v>1244</v>
      </c>
      <c r="C29" s="14" t="s">
        <v>1299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6.25" customHeight="1">
      <c r="A30" s="18" t="s">
        <v>1300</v>
      </c>
      <c r="B30" s="15" t="s">
        <v>1244</v>
      </c>
      <c r="C30" s="14" t="s">
        <v>1301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6.25" customHeight="1">
      <c r="A31" s="18" t="s">
        <v>1302</v>
      </c>
      <c r="B31" s="15" t="s">
        <v>1244</v>
      </c>
      <c r="C31" s="14" t="s">
        <v>1303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6.25" customHeight="1">
      <c r="A32" s="18" t="s">
        <v>1304</v>
      </c>
      <c r="B32" s="15" t="s">
        <v>1244</v>
      </c>
      <c r="C32" s="14" t="s">
        <v>1305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26.25" customHeight="1">
      <c r="A33" s="18" t="s">
        <v>1306</v>
      </c>
      <c r="B33" s="15" t="s">
        <v>1244</v>
      </c>
      <c r="C33" s="14" t="s">
        <v>1307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26.25" customHeight="1">
      <c r="A34" s="18" t="s">
        <v>1308</v>
      </c>
      <c r="B34" s="15" t="s">
        <v>1244</v>
      </c>
      <c r="C34" s="14" t="s">
        <v>1309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26.25" customHeight="1">
      <c r="A35" s="18" t="s">
        <v>1310</v>
      </c>
      <c r="B35" s="15" t="s">
        <v>1244</v>
      </c>
      <c r="C35" s="14" t="s">
        <v>1311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26.25" customHeight="1">
      <c r="A36" s="18" t="s">
        <v>1312</v>
      </c>
      <c r="B36" s="15" t="s">
        <v>1244</v>
      </c>
      <c r="C36" s="14" t="s">
        <v>1313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26.25" customHeight="1">
      <c r="A37" s="18" t="s">
        <v>1314</v>
      </c>
      <c r="B37" s="15" t="s">
        <v>1244</v>
      </c>
      <c r="C37" s="14" t="s">
        <v>1315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26.25" customHeight="1">
      <c r="A38" s="18" t="s">
        <v>1316</v>
      </c>
      <c r="B38" s="15" t="s">
        <v>1244</v>
      </c>
      <c r="C38" s="14" t="s">
        <v>1317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26.25" customHeight="1">
      <c r="A39" s="18" t="s">
        <v>1318</v>
      </c>
      <c r="B39" s="15" t="s">
        <v>1244</v>
      </c>
      <c r="C39" s="14" t="s">
        <v>1319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26.25" customHeight="1">
      <c r="A40" s="18" t="s">
        <v>1320</v>
      </c>
      <c r="B40" s="15" t="s">
        <v>1244</v>
      </c>
      <c r="C40" s="14" t="s">
        <v>1321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26.25" customHeight="1">
      <c r="A41" s="18" t="s">
        <v>1322</v>
      </c>
      <c r="B41" s="15" t="s">
        <v>1244</v>
      </c>
      <c r="C41" s="14" t="s">
        <v>1323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26.25" customHeight="1">
      <c r="A42" s="18" t="s">
        <v>1324</v>
      </c>
      <c r="B42" s="15" t="s">
        <v>1244</v>
      </c>
      <c r="C42" s="14" t="s">
        <v>1325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26.25" customHeight="1">
      <c r="A43" s="18" t="s">
        <v>1326</v>
      </c>
      <c r="B43" s="15" t="s">
        <v>1244</v>
      </c>
      <c r="C43" s="14" t="s">
        <v>1327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6.25" customHeight="1">
      <c r="A44" s="18" t="s">
        <v>1328</v>
      </c>
      <c r="B44" s="15" t="s">
        <v>1244</v>
      </c>
      <c r="C44" s="14" t="s">
        <v>1329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6.25" customHeight="1">
      <c r="A45" s="18" t="s">
        <v>1330</v>
      </c>
      <c r="B45" s="15" t="s">
        <v>1244</v>
      </c>
      <c r="C45" s="14" t="s">
        <v>1331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26.25" customHeight="1">
      <c r="A46" s="18" t="s">
        <v>1332</v>
      </c>
      <c r="B46" s="15" t="s">
        <v>1244</v>
      </c>
      <c r="C46" s="14" t="s">
        <v>1333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26.25" customHeight="1">
      <c r="A47" s="18" t="s">
        <v>1334</v>
      </c>
      <c r="B47" s="15" t="s">
        <v>1244</v>
      </c>
      <c r="C47" s="14" t="s">
        <v>1335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6.25" customHeight="1">
      <c r="A48" s="18" t="s">
        <v>1336</v>
      </c>
      <c r="B48" s="15" t="s">
        <v>1244</v>
      </c>
      <c r="C48" s="14" t="s">
        <v>1337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26.25" customHeight="1">
      <c r="A49" s="18" t="s">
        <v>1338</v>
      </c>
      <c r="B49" s="15" t="s">
        <v>1244</v>
      </c>
      <c r="C49" s="14" t="s">
        <v>1339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26.25" customHeight="1">
      <c r="A50" s="18" t="s">
        <v>1340</v>
      </c>
      <c r="B50" s="15" t="s">
        <v>1244</v>
      </c>
      <c r="C50" s="14" t="s">
        <v>1341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26.25" customHeight="1">
      <c r="A51" s="18" t="s">
        <v>1342</v>
      </c>
      <c r="B51" s="15" t="s">
        <v>1244</v>
      </c>
      <c r="C51" s="14" t="s">
        <v>1343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26.25" customHeight="1">
      <c r="A52" s="18" t="s">
        <v>1344</v>
      </c>
      <c r="B52" s="15" t="s">
        <v>1244</v>
      </c>
      <c r="C52" s="14" t="s">
        <v>1345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26.25" customHeight="1">
      <c r="A53" s="18" t="s">
        <v>1346</v>
      </c>
      <c r="B53" s="15" t="s">
        <v>1244</v>
      </c>
      <c r="C53" s="14" t="s">
        <v>1347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26.25" customHeight="1">
      <c r="A54" s="18" t="s">
        <v>1348</v>
      </c>
      <c r="B54" s="15" t="s">
        <v>1244</v>
      </c>
      <c r="C54" s="14" t="s">
        <v>1349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26.25" customHeight="1">
      <c r="A55" s="18" t="s">
        <v>1350</v>
      </c>
      <c r="B55" s="15" t="s">
        <v>1244</v>
      </c>
      <c r="C55" s="14" t="s">
        <v>1351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26.25" customHeight="1">
      <c r="A56" s="18" t="s">
        <v>1352</v>
      </c>
      <c r="B56" s="15" t="s">
        <v>1244</v>
      </c>
      <c r="C56" s="14" t="s">
        <v>1353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26.25" customHeight="1">
      <c r="A57" s="18" t="s">
        <v>1354</v>
      </c>
      <c r="B57" s="15" t="s">
        <v>1244</v>
      </c>
      <c r="C57" s="14" t="s">
        <v>1355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26.25" customHeight="1">
      <c r="A58" s="18" t="s">
        <v>1356</v>
      </c>
      <c r="B58" s="15" t="s">
        <v>1244</v>
      </c>
      <c r="C58" s="14" t="s">
        <v>1357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26.25" customHeight="1">
      <c r="A59" s="18" t="s">
        <v>1358</v>
      </c>
      <c r="B59" s="15" t="s">
        <v>1244</v>
      </c>
      <c r="C59" s="14" t="s">
        <v>1359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26.25" customHeight="1">
      <c r="A60" s="18" t="s">
        <v>1360</v>
      </c>
      <c r="B60" s="15" t="s">
        <v>1244</v>
      </c>
      <c r="C60" s="14" t="s">
        <v>1361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26.25" customHeight="1">
      <c r="A61" s="18" t="s">
        <v>1362</v>
      </c>
      <c r="B61" s="15" t="s">
        <v>1244</v>
      </c>
      <c r="C61" s="14" t="s">
        <v>1363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26.25" customHeight="1">
      <c r="A62" s="18" t="s">
        <v>1364</v>
      </c>
      <c r="B62" s="15" t="s">
        <v>1244</v>
      </c>
      <c r="C62" s="14" t="s">
        <v>1365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26.25" customHeight="1">
      <c r="A63" s="18" t="s">
        <v>1366</v>
      </c>
      <c r="B63" s="15" t="s">
        <v>1244</v>
      </c>
      <c r="C63" s="14" t="s">
        <v>1367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26.25" customHeight="1">
      <c r="A64" s="18" t="s">
        <v>1368</v>
      </c>
      <c r="B64" s="15" t="s">
        <v>1244</v>
      </c>
      <c r="C64" s="14" t="s">
        <v>1369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26.25" customHeight="1">
      <c r="A65" s="18" t="s">
        <v>1370</v>
      </c>
      <c r="B65" s="15" t="s">
        <v>1244</v>
      </c>
      <c r="C65" s="14" t="s">
        <v>1371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6.25" customHeight="1">
      <c r="A66" s="18" t="s">
        <v>1372</v>
      </c>
      <c r="B66" s="15" t="s">
        <v>1244</v>
      </c>
      <c r="C66" s="14" t="s">
        <v>1373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6.25" customHeight="1">
      <c r="A67" s="18" t="s">
        <v>1374</v>
      </c>
      <c r="B67" s="15" t="s">
        <v>1244</v>
      </c>
      <c r="C67" s="14" t="s">
        <v>1375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26.25" customHeight="1">
      <c r="A68" s="18" t="s">
        <v>1376</v>
      </c>
      <c r="B68" s="15" t="s">
        <v>1244</v>
      </c>
      <c r="C68" s="14" t="s">
        <v>1377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26.25" customHeight="1">
      <c r="A69" s="18" t="s">
        <v>1378</v>
      </c>
      <c r="B69" s="15" t="s">
        <v>1244</v>
      </c>
      <c r="C69" s="14" t="s">
        <v>1379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26.25" customHeight="1">
      <c r="A70" s="18" t="s">
        <v>1380</v>
      </c>
      <c r="B70" s="15" t="s">
        <v>1244</v>
      </c>
      <c r="C70" s="14" t="s">
        <v>1381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26.25" customHeight="1">
      <c r="A71" s="18" t="s">
        <v>1382</v>
      </c>
      <c r="B71" s="15" t="s">
        <v>1244</v>
      </c>
      <c r="C71" s="14" t="s">
        <v>1383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26.25" customHeight="1">
      <c r="A72" s="18" t="s">
        <v>1384</v>
      </c>
      <c r="B72" s="15" t="s">
        <v>1244</v>
      </c>
      <c r="C72" s="14" t="s">
        <v>1385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26.25" customHeight="1">
      <c r="A73" s="18" t="s">
        <v>1386</v>
      </c>
      <c r="B73" s="15" t="s">
        <v>1244</v>
      </c>
      <c r="C73" s="14" t="s">
        <v>1387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26.25" customHeight="1">
      <c r="A74" s="18" t="s">
        <v>1388</v>
      </c>
      <c r="B74" s="15" t="s">
        <v>1244</v>
      </c>
      <c r="C74" s="14" t="s">
        <v>1389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26.25" customHeight="1">
      <c r="A75" s="18" t="s">
        <v>1390</v>
      </c>
      <c r="B75" s="15" t="s">
        <v>1244</v>
      </c>
      <c r="C75" s="14" t="s">
        <v>1391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26.25" customHeight="1">
      <c r="A76" s="18" t="s">
        <v>1392</v>
      </c>
      <c r="B76" s="15" t="s">
        <v>1244</v>
      </c>
      <c r="C76" s="14" t="s">
        <v>1393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26.25" customHeight="1">
      <c r="A77" s="18" t="s">
        <v>1394</v>
      </c>
      <c r="B77" s="15" t="s">
        <v>1244</v>
      </c>
      <c r="C77" s="14" t="s">
        <v>1395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26.25" customHeight="1">
      <c r="A78" s="18" t="s">
        <v>1396</v>
      </c>
      <c r="B78" s="15" t="s">
        <v>1244</v>
      </c>
      <c r="C78" s="14" t="s">
        <v>1397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26.25" customHeight="1">
      <c r="A79" s="18" t="s">
        <v>1398</v>
      </c>
      <c r="B79" s="15" t="s">
        <v>1244</v>
      </c>
      <c r="C79" s="14" t="s">
        <v>1399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26.25" customHeight="1">
      <c r="A80" s="18" t="s">
        <v>1400</v>
      </c>
      <c r="B80" s="15" t="s">
        <v>1244</v>
      </c>
      <c r="C80" s="14" t="s">
        <v>1401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26.25" customHeight="1">
      <c r="A81" s="18" t="s">
        <v>1402</v>
      </c>
      <c r="B81" s="15" t="s">
        <v>1244</v>
      </c>
      <c r="C81" s="14" t="s">
        <v>1403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26.25" customHeight="1">
      <c r="A82" s="18" t="s">
        <v>1404</v>
      </c>
      <c r="B82" s="15" t="s">
        <v>1244</v>
      </c>
      <c r="C82" s="14" t="s">
        <v>1405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26.25" customHeight="1">
      <c r="A83" s="18" t="s">
        <v>1406</v>
      </c>
      <c r="B83" s="15" t="s">
        <v>1244</v>
      </c>
      <c r="C83" s="14" t="s">
        <v>1407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26.25" customHeight="1">
      <c r="A84" s="18" t="s">
        <v>1408</v>
      </c>
      <c r="B84" s="15" t="s">
        <v>1244</v>
      </c>
      <c r="C84" s="14" t="s">
        <v>1409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26.25" customHeight="1">
      <c r="A85" s="18" t="s">
        <v>1410</v>
      </c>
      <c r="B85" s="15" t="s">
        <v>1244</v>
      </c>
      <c r="C85" s="14" t="s">
        <v>1411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26.25" customHeight="1">
      <c r="A86" s="18" t="s">
        <v>1412</v>
      </c>
      <c r="B86" s="15" t="s">
        <v>1244</v>
      </c>
      <c r="C86" s="14" t="s">
        <v>1413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26.25" customHeight="1">
      <c r="A87" s="18" t="s">
        <v>1414</v>
      </c>
      <c r="B87" s="15" t="s">
        <v>1244</v>
      </c>
      <c r="C87" s="14" t="s">
        <v>1415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26.25" customHeight="1">
      <c r="A88" s="18" t="s">
        <v>1416</v>
      </c>
      <c r="B88" s="15" t="s">
        <v>1244</v>
      </c>
      <c r="C88" s="14" t="s">
        <v>1417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26.25" customHeight="1">
      <c r="A89" s="18" t="s">
        <v>1418</v>
      </c>
      <c r="B89" s="15" t="s">
        <v>1244</v>
      </c>
      <c r="C89" s="14" t="s">
        <v>1419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26.25" customHeight="1">
      <c r="A90" s="18" t="s">
        <v>1420</v>
      </c>
      <c r="B90" s="15" t="s">
        <v>1244</v>
      </c>
      <c r="C90" s="14" t="s">
        <v>1421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26.25" customHeight="1">
      <c r="A91" s="18" t="s">
        <v>1422</v>
      </c>
      <c r="B91" s="15" t="s">
        <v>1244</v>
      </c>
      <c r="C91" s="14" t="s">
        <v>1423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26.25" customHeight="1">
      <c r="A92" s="18" t="s">
        <v>1424</v>
      </c>
      <c r="B92" s="15" t="s">
        <v>1244</v>
      </c>
      <c r="C92" s="14" t="s">
        <v>1425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26.25" customHeight="1">
      <c r="A93" s="18" t="s">
        <v>1426</v>
      </c>
      <c r="B93" s="15" t="s">
        <v>1244</v>
      </c>
      <c r="C93" s="14" t="s">
        <v>1427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26.25" customHeight="1">
      <c r="A94" s="18" t="s">
        <v>1428</v>
      </c>
      <c r="B94" s="15" t="s">
        <v>1244</v>
      </c>
      <c r="C94" s="14" t="s">
        <v>1429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26.25" customHeight="1">
      <c r="A95" s="18" t="s">
        <v>1430</v>
      </c>
      <c r="B95" s="15" t="s">
        <v>1244</v>
      </c>
      <c r="C95" s="14" t="s">
        <v>1431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26.25" customHeight="1">
      <c r="A96" s="18" t="s">
        <v>1432</v>
      </c>
      <c r="B96" s="15" t="s">
        <v>1244</v>
      </c>
      <c r="C96" s="14" t="s">
        <v>1433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26.25" customHeight="1">
      <c r="A97" s="18" t="s">
        <v>1434</v>
      </c>
      <c r="B97" s="15" t="s">
        <v>1244</v>
      </c>
      <c r="C97" s="14" t="s">
        <v>1435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26.25" customHeight="1">
      <c r="A98" s="18" t="s">
        <v>1436</v>
      </c>
      <c r="B98" s="15" t="s">
        <v>1244</v>
      </c>
      <c r="C98" s="14" t="s">
        <v>1437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6.25" customHeight="1">
      <c r="A99" s="18" t="s">
        <v>1438</v>
      </c>
      <c r="B99" s="15" t="s">
        <v>1244</v>
      </c>
      <c r="C99" s="14" t="s">
        <v>1439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26.25" customHeight="1">
      <c r="A100" s="18" t="s">
        <v>1440</v>
      </c>
      <c r="B100" s="15" t="s">
        <v>1244</v>
      </c>
      <c r="C100" s="14" t="s">
        <v>1441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26.25" customHeight="1">
      <c r="A101" s="18" t="s">
        <v>1442</v>
      </c>
      <c r="B101" s="15" t="s">
        <v>1244</v>
      </c>
      <c r="C101" s="14" t="s">
        <v>1443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26.25" customHeight="1">
      <c r="A102" s="18" t="s">
        <v>1444</v>
      </c>
      <c r="B102" s="15" t="s">
        <v>1244</v>
      </c>
      <c r="C102" s="14" t="s">
        <v>1445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26.25" customHeight="1">
      <c r="A103" s="18" t="s">
        <v>1446</v>
      </c>
      <c r="B103" s="15" t="s">
        <v>1244</v>
      </c>
      <c r="C103" s="14" t="s">
        <v>1447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26.25" customHeight="1">
      <c r="A104" s="18" t="s">
        <v>1448</v>
      </c>
      <c r="B104" s="15" t="s">
        <v>1244</v>
      </c>
      <c r="C104" s="14" t="s">
        <v>1449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26.25" customHeight="1">
      <c r="A105" s="18" t="s">
        <v>1450</v>
      </c>
      <c r="B105" s="15" t="s">
        <v>1244</v>
      </c>
      <c r="C105" s="14" t="s">
        <v>1451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26.25" customHeight="1">
      <c r="A106" s="18" t="s">
        <v>1452</v>
      </c>
      <c r="B106" s="15" t="s">
        <v>1244</v>
      </c>
      <c r="C106" s="14" t="s">
        <v>1453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26.25" customHeight="1">
      <c r="A107" s="18" t="s">
        <v>1454</v>
      </c>
      <c r="B107" s="15" t="s">
        <v>1244</v>
      </c>
      <c r="C107" s="14" t="s">
        <v>1455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26.25" customHeight="1">
      <c r="A108" s="18" t="s">
        <v>1456</v>
      </c>
      <c r="B108" s="15" t="s">
        <v>1244</v>
      </c>
      <c r="C108" s="14" t="s">
        <v>1457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26.25" customHeight="1">
      <c r="A109" s="18" t="s">
        <v>1458</v>
      </c>
      <c r="B109" s="15" t="s">
        <v>1244</v>
      </c>
      <c r="C109" s="14" t="s">
        <v>1459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26.25" customHeight="1">
      <c r="A110" s="18" t="s">
        <v>1460</v>
      </c>
      <c r="B110" s="15" t="s">
        <v>1244</v>
      </c>
      <c r="C110" s="14" t="s">
        <v>1461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26.25" customHeight="1">
      <c r="A111" s="18" t="s">
        <v>1462</v>
      </c>
      <c r="B111" s="15" t="s">
        <v>1244</v>
      </c>
      <c r="C111" s="14" t="s">
        <v>1463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26.25" customHeight="1">
      <c r="A112" s="18" t="s">
        <v>1464</v>
      </c>
      <c r="B112" s="15" t="s">
        <v>1244</v>
      </c>
      <c r="C112" s="14" t="s">
        <v>1465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26.25" customHeight="1">
      <c r="A113" s="18" t="s">
        <v>1466</v>
      </c>
      <c r="B113" s="15" t="s">
        <v>1244</v>
      </c>
      <c r="C113" s="14" t="s">
        <v>1467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26.25" customHeight="1">
      <c r="A114" s="18" t="s">
        <v>1468</v>
      </c>
      <c r="B114" s="15" t="s">
        <v>1244</v>
      </c>
      <c r="C114" s="14" t="s">
        <v>1469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26.25" customHeight="1">
      <c r="A115" s="18" t="s">
        <v>1470</v>
      </c>
      <c r="B115" s="15" t="s">
        <v>1244</v>
      </c>
      <c r="C115" s="14" t="s">
        <v>1471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26.25" customHeight="1">
      <c r="A116" s="18" t="s">
        <v>1472</v>
      </c>
      <c r="B116" s="15" t="s">
        <v>1244</v>
      </c>
      <c r="C116" s="14" t="s">
        <v>1473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26.25" customHeight="1">
      <c r="A117" s="18" t="s">
        <v>1474</v>
      </c>
      <c r="B117" s="15" t="s">
        <v>1244</v>
      </c>
      <c r="C117" s="14" t="s">
        <v>1475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26.25" customHeight="1">
      <c r="A118" s="18" t="s">
        <v>1476</v>
      </c>
      <c r="B118" s="15" t="s">
        <v>1244</v>
      </c>
      <c r="C118" s="14" t="s">
        <v>1477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26.25" customHeight="1">
      <c r="A119" s="18" t="s">
        <v>1478</v>
      </c>
      <c r="B119" s="15" t="s">
        <v>1244</v>
      </c>
      <c r="C119" s="14" t="s">
        <v>1479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26.25" customHeight="1">
      <c r="A120" s="18" t="s">
        <v>1480</v>
      </c>
      <c r="B120" s="15" t="s">
        <v>1244</v>
      </c>
      <c r="C120" s="14" t="s">
        <v>1481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26.25" customHeight="1">
      <c r="A121" s="18" t="s">
        <v>1482</v>
      </c>
      <c r="B121" s="15" t="s">
        <v>1244</v>
      </c>
      <c r="C121" s="14" t="s">
        <v>1483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26.25" customHeight="1">
      <c r="A122" s="18" t="s">
        <v>1484</v>
      </c>
      <c r="B122" s="15" t="s">
        <v>1244</v>
      </c>
      <c r="C122" s="14" t="s">
        <v>1485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26.25" customHeight="1">
      <c r="A123" s="18" t="s">
        <v>1486</v>
      </c>
      <c r="B123" s="15" t="s">
        <v>1244</v>
      </c>
      <c r="C123" s="14" t="s">
        <v>1487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26.25" customHeight="1">
      <c r="A124" s="18" t="s">
        <v>1488</v>
      </c>
      <c r="B124" s="15" t="s">
        <v>1244</v>
      </c>
      <c r="C124" s="14" t="s">
        <v>1489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26.25" customHeight="1">
      <c r="A125" s="18" t="s">
        <v>1490</v>
      </c>
      <c r="B125" s="15" t="s">
        <v>1244</v>
      </c>
      <c r="C125" s="14" t="s">
        <v>1491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26.25" customHeight="1">
      <c r="A126" s="18" t="s">
        <v>1492</v>
      </c>
      <c r="B126" s="15" t="s">
        <v>1244</v>
      </c>
      <c r="C126" s="14" t="s">
        <v>1493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26.25" customHeight="1">
      <c r="A127" s="18" t="s">
        <v>1494</v>
      </c>
      <c r="B127" s="15" t="s">
        <v>1244</v>
      </c>
      <c r="C127" s="14" t="s">
        <v>1495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26.25" customHeight="1">
      <c r="A128" s="18" t="s">
        <v>1496</v>
      </c>
      <c r="B128" s="15" t="s">
        <v>1244</v>
      </c>
      <c r="C128" s="14" t="s">
        <v>1497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26.25" customHeight="1">
      <c r="A129" s="18" t="s">
        <v>1498</v>
      </c>
      <c r="B129" s="15" t="s">
        <v>1244</v>
      </c>
      <c r="C129" s="14" t="s">
        <v>1499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26.25" customHeight="1">
      <c r="A130" s="18" t="s">
        <v>1500</v>
      </c>
      <c r="B130" s="15" t="s">
        <v>1244</v>
      </c>
      <c r="C130" s="14" t="s">
        <v>1501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26.25" customHeight="1">
      <c r="A131" s="18" t="s">
        <v>1502</v>
      </c>
      <c r="B131" s="15" t="s">
        <v>1244</v>
      </c>
      <c r="C131" s="14" t="s">
        <v>1503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26.25" customHeight="1">
      <c r="A132" s="18" t="s">
        <v>1504</v>
      </c>
      <c r="B132" s="15" t="s">
        <v>1244</v>
      </c>
      <c r="C132" s="14" t="s">
        <v>1505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26.25" customHeight="1">
      <c r="A133" s="18" t="s">
        <v>1506</v>
      </c>
      <c r="B133" s="15" t="s">
        <v>1244</v>
      </c>
      <c r="C133" s="14" t="s">
        <v>1507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26.25" customHeight="1">
      <c r="A134" s="18" t="s">
        <v>1508</v>
      </c>
      <c r="B134" s="15" t="s">
        <v>1244</v>
      </c>
      <c r="C134" s="14" t="s">
        <v>1509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26.25" customHeight="1">
      <c r="A135" s="18" t="s">
        <v>1510</v>
      </c>
      <c r="B135" s="15" t="s">
        <v>1244</v>
      </c>
      <c r="C135" s="14" t="s">
        <v>1511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26.25" customHeight="1">
      <c r="A136" s="18" t="s">
        <v>1512</v>
      </c>
      <c r="B136" s="15" t="s">
        <v>1244</v>
      </c>
      <c r="C136" s="14" t="s">
        <v>1513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26.25" customHeight="1">
      <c r="A137" s="18" t="s">
        <v>1514</v>
      </c>
      <c r="B137" s="15" t="s">
        <v>1244</v>
      </c>
      <c r="C137" s="14" t="s">
        <v>1515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26.25" customHeight="1">
      <c r="A138" s="18" t="s">
        <v>1516</v>
      </c>
      <c r="B138" s="15" t="s">
        <v>1244</v>
      </c>
      <c r="C138" s="14" t="s">
        <v>1517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26.25" customHeight="1">
      <c r="A139" s="18" t="s">
        <v>1518</v>
      </c>
      <c r="B139" s="15" t="s">
        <v>1244</v>
      </c>
      <c r="C139" s="14" t="s">
        <v>1519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26.25" customHeight="1">
      <c r="A140" s="18" t="s">
        <v>1520</v>
      </c>
      <c r="B140" s="15" t="s">
        <v>1244</v>
      </c>
      <c r="C140" s="14" t="s">
        <v>1521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26.25" customHeight="1">
      <c r="A141" s="18" t="s">
        <v>1522</v>
      </c>
      <c r="B141" s="15" t="s">
        <v>1244</v>
      </c>
      <c r="C141" s="14" t="s">
        <v>1523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26.25" customHeight="1">
      <c r="A142" s="18" t="s">
        <v>1524</v>
      </c>
      <c r="B142" s="15" t="s">
        <v>1244</v>
      </c>
      <c r="C142" s="14" t="s">
        <v>1525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26.25" customHeight="1">
      <c r="A143" s="18" t="s">
        <v>1526</v>
      </c>
      <c r="B143" s="15" t="s">
        <v>1244</v>
      </c>
      <c r="C143" s="14" t="s">
        <v>1527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26.25" customHeight="1">
      <c r="A144" s="18" t="s">
        <v>1528</v>
      </c>
      <c r="B144" s="15" t="s">
        <v>1244</v>
      </c>
      <c r="C144" s="14" t="s">
        <v>1529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26.25" customHeight="1">
      <c r="A145" s="19" t="s">
        <v>1530</v>
      </c>
      <c r="B145" s="15" t="s">
        <v>1244</v>
      </c>
      <c r="C145" s="14" t="s">
        <v>1531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26.25" customHeight="1">
      <c r="A146" s="19" t="s">
        <v>1532</v>
      </c>
      <c r="B146" s="15" t="s">
        <v>1244</v>
      </c>
      <c r="C146" s="14" t="s">
        <v>1533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26.25" customHeight="1">
      <c r="A147" s="19" t="s">
        <v>1534</v>
      </c>
      <c r="B147" s="15" t="s">
        <v>1244</v>
      </c>
      <c r="C147" s="14" t="s">
        <v>1535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26.25" customHeight="1">
      <c r="A148" s="19" t="s">
        <v>1536</v>
      </c>
      <c r="B148" s="15" t="s">
        <v>1244</v>
      </c>
      <c r="C148" s="14" t="s">
        <v>1537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26.25" customHeight="1">
      <c r="A149" s="6"/>
      <c r="B149" s="6"/>
      <c r="C149" s="6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26.25" customHeight="1">
      <c r="A150" s="18" t="s">
        <v>1538</v>
      </c>
      <c r="B150" s="15" t="s">
        <v>1539</v>
      </c>
      <c r="C150" s="14" t="s">
        <v>1540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26.25" customHeight="1">
      <c r="A151" s="18" t="s">
        <v>1541</v>
      </c>
      <c r="B151" s="15" t="s">
        <v>1539</v>
      </c>
      <c r="C151" s="14" t="s">
        <v>1542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26.25" customHeight="1">
      <c r="A152" s="18" t="s">
        <v>1543</v>
      </c>
      <c r="B152" s="15" t="s">
        <v>1539</v>
      </c>
      <c r="C152" s="14" t="s">
        <v>1544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26.25" customHeight="1">
      <c r="A153" s="18" t="s">
        <v>1545</v>
      </c>
      <c r="B153" s="15" t="s">
        <v>1539</v>
      </c>
      <c r="C153" s="14" t="s">
        <v>1546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26.25" customHeight="1">
      <c r="A154" s="18" t="s">
        <v>1547</v>
      </c>
      <c r="B154" s="15" t="s">
        <v>1539</v>
      </c>
      <c r="C154" s="14" t="s">
        <v>1548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26.25" customHeight="1">
      <c r="A155" s="18" t="s">
        <v>1549</v>
      </c>
      <c r="B155" s="15" t="s">
        <v>1539</v>
      </c>
      <c r="C155" s="14" t="s">
        <v>1550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26.25" customHeight="1">
      <c r="A156" s="18" t="s">
        <v>1551</v>
      </c>
      <c r="B156" s="15" t="s">
        <v>1539</v>
      </c>
      <c r="C156" s="14" t="s">
        <v>1552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26.25" customHeight="1">
      <c r="A157" s="18" t="s">
        <v>1553</v>
      </c>
      <c r="B157" s="15" t="s">
        <v>1539</v>
      </c>
      <c r="C157" s="14" t="s">
        <v>1554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26.25" customHeight="1">
      <c r="A158" s="18" t="s">
        <v>1555</v>
      </c>
      <c r="B158" s="15" t="s">
        <v>1539</v>
      </c>
      <c r="C158" s="14" t="s">
        <v>1556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26.25" customHeight="1">
      <c r="A159" s="18" t="s">
        <v>1557</v>
      </c>
      <c r="B159" s="15" t="s">
        <v>1539</v>
      </c>
      <c r="C159" s="14" t="s">
        <v>1558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26.25" customHeight="1">
      <c r="A160" s="18" t="s">
        <v>1559</v>
      </c>
      <c r="B160" s="15" t="s">
        <v>1539</v>
      </c>
      <c r="C160" s="14" t="s">
        <v>1560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26.25" customHeight="1">
      <c r="A161" s="18" t="s">
        <v>1561</v>
      </c>
      <c r="B161" s="15" t="s">
        <v>1539</v>
      </c>
      <c r="C161" s="14" t="s">
        <v>1562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26.25" customHeight="1">
      <c r="A162" s="18" t="s">
        <v>1563</v>
      </c>
      <c r="B162" s="15" t="s">
        <v>1539</v>
      </c>
      <c r="C162" s="14" t="s">
        <v>1564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26.25" customHeight="1">
      <c r="A163" s="18" t="s">
        <v>1565</v>
      </c>
      <c r="B163" s="15" t="s">
        <v>1539</v>
      </c>
      <c r="C163" s="14" t="s">
        <v>1566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26.25" customHeight="1">
      <c r="A164" s="18" t="s">
        <v>1567</v>
      </c>
      <c r="B164" s="15" t="s">
        <v>1539</v>
      </c>
      <c r="C164" s="14" t="s">
        <v>1568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26.25" customHeight="1">
      <c r="A165" s="18" t="s">
        <v>1569</v>
      </c>
      <c r="B165" s="15" t="s">
        <v>1539</v>
      </c>
      <c r="C165" s="14" t="s">
        <v>1570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26.25" customHeight="1">
      <c r="A166" s="18" t="s">
        <v>1571</v>
      </c>
      <c r="B166" s="15" t="s">
        <v>1539</v>
      </c>
      <c r="C166" s="14" t="s">
        <v>1572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26.25" customHeight="1">
      <c r="A167" s="18" t="s">
        <v>1573</v>
      </c>
      <c r="B167" s="15" t="s">
        <v>1539</v>
      </c>
      <c r="C167" s="14" t="s">
        <v>1574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26.25" customHeight="1">
      <c r="A168" s="18" t="s">
        <v>1575</v>
      </c>
      <c r="B168" s="15" t="s">
        <v>1539</v>
      </c>
      <c r="C168" s="14" t="s">
        <v>1576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26.25" customHeight="1">
      <c r="A169" s="18" t="s">
        <v>1577</v>
      </c>
      <c r="B169" s="15" t="s">
        <v>1539</v>
      </c>
      <c r="C169" s="14" t="s">
        <v>1578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26.25" customHeight="1">
      <c r="A170" s="18" t="s">
        <v>1579</v>
      </c>
      <c r="B170" s="15" t="s">
        <v>1539</v>
      </c>
      <c r="C170" s="14" t="s">
        <v>1580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26.25" customHeight="1">
      <c r="A171" s="18" t="s">
        <v>1581</v>
      </c>
      <c r="B171" s="15" t="s">
        <v>1539</v>
      </c>
      <c r="C171" s="14" t="s">
        <v>1582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26.25" customHeight="1">
      <c r="A172" s="18" t="s">
        <v>1583</v>
      </c>
      <c r="B172" s="15" t="s">
        <v>1539</v>
      </c>
      <c r="C172" s="14" t="s">
        <v>1584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26.25" customHeight="1">
      <c r="A173" s="18" t="s">
        <v>1585</v>
      </c>
      <c r="B173" s="15" t="s">
        <v>1539</v>
      </c>
      <c r="C173" s="14" t="s">
        <v>1586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26.25" customHeight="1">
      <c r="A174" s="18" t="s">
        <v>1587</v>
      </c>
      <c r="B174" s="15" t="s">
        <v>1539</v>
      </c>
      <c r="C174" s="14" t="s">
        <v>1588</v>
      </c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26.25" customHeight="1">
      <c r="A175" s="18" t="s">
        <v>1589</v>
      </c>
      <c r="B175" s="15" t="s">
        <v>1539</v>
      </c>
      <c r="C175" s="14" t="s">
        <v>1590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26.25" customHeight="1">
      <c r="A176" s="18" t="s">
        <v>1591</v>
      </c>
      <c r="B176" s="15" t="s">
        <v>1539</v>
      </c>
      <c r="C176" s="14" t="s">
        <v>1592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26.25" customHeight="1">
      <c r="A177" s="18" t="s">
        <v>1593</v>
      </c>
      <c r="B177" s="15" t="s">
        <v>1539</v>
      </c>
      <c r="C177" s="14" t="s">
        <v>1594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26.25" customHeight="1">
      <c r="A178" s="18" t="s">
        <v>1595</v>
      </c>
      <c r="B178" s="15" t="s">
        <v>1539</v>
      </c>
      <c r="C178" s="14" t="s">
        <v>1596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26.25" customHeight="1">
      <c r="A179" s="18" t="s">
        <v>1597</v>
      </c>
      <c r="B179" s="15" t="s">
        <v>1539</v>
      </c>
      <c r="C179" s="14" t="s">
        <v>1598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26.25" customHeight="1">
      <c r="A180" s="18" t="s">
        <v>1599</v>
      </c>
      <c r="B180" s="15" t="s">
        <v>1539</v>
      </c>
      <c r="C180" s="14" t="s">
        <v>1600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26.25" customHeight="1">
      <c r="A181" s="18" t="s">
        <v>1601</v>
      </c>
      <c r="B181" s="15" t="s">
        <v>1539</v>
      </c>
      <c r="C181" s="14" t="s">
        <v>1602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26.25" customHeight="1">
      <c r="A182" s="18" t="s">
        <v>1603</v>
      </c>
      <c r="B182" s="15" t="s">
        <v>1539</v>
      </c>
      <c r="C182" s="14" t="s">
        <v>1604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26.25" customHeight="1">
      <c r="A183" s="18" t="s">
        <v>1605</v>
      </c>
      <c r="B183" s="15" t="s">
        <v>1539</v>
      </c>
      <c r="C183" s="14" t="s">
        <v>1606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26.25" customHeight="1">
      <c r="A184" s="18" t="s">
        <v>1607</v>
      </c>
      <c r="B184" s="15" t="s">
        <v>1539</v>
      </c>
      <c r="C184" s="14" t="s">
        <v>1608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26.25" customHeight="1">
      <c r="A185" s="18" t="s">
        <v>1609</v>
      </c>
      <c r="B185" s="15" t="s">
        <v>1539</v>
      </c>
      <c r="C185" s="14" t="s">
        <v>1610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26.25" customHeight="1">
      <c r="A186" s="18" t="s">
        <v>1611</v>
      </c>
      <c r="B186" s="15" t="s">
        <v>1539</v>
      </c>
      <c r="C186" s="14" t="s">
        <v>1612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26.25" customHeight="1">
      <c r="A187" s="18" t="s">
        <v>1613</v>
      </c>
      <c r="B187" s="15" t="s">
        <v>1539</v>
      </c>
      <c r="C187" s="14" t="s">
        <v>1614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26.25" customHeight="1">
      <c r="A188" s="18" t="s">
        <v>1615</v>
      </c>
      <c r="B188" s="15" t="s">
        <v>1539</v>
      </c>
      <c r="C188" s="14" t="s">
        <v>1616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26.25" customHeight="1">
      <c r="A189" s="18" t="s">
        <v>1617</v>
      </c>
      <c r="B189" s="15" t="s">
        <v>1539</v>
      </c>
      <c r="C189" s="14" t="s">
        <v>1618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26.25" customHeight="1">
      <c r="A190" s="18" t="s">
        <v>1619</v>
      </c>
      <c r="B190" s="15" t="s">
        <v>1539</v>
      </c>
      <c r="C190" s="14" t="s">
        <v>1620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26.25" customHeight="1">
      <c r="A191" s="18" t="s">
        <v>1621</v>
      </c>
      <c r="B191" s="15" t="s">
        <v>1539</v>
      </c>
      <c r="C191" s="14" t="s">
        <v>1622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26.25" customHeight="1">
      <c r="A192" s="18" t="s">
        <v>1623</v>
      </c>
      <c r="B192" s="15" t="s">
        <v>1539</v>
      </c>
      <c r="C192" s="14" t="s">
        <v>1624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26.25" customHeight="1">
      <c r="A193" s="18" t="s">
        <v>1625</v>
      </c>
      <c r="B193" s="15" t="s">
        <v>1539</v>
      </c>
      <c r="C193" s="14" t="s">
        <v>1626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26.25" customHeight="1">
      <c r="A194" s="18" t="s">
        <v>1627</v>
      </c>
      <c r="B194" s="15" t="s">
        <v>1539</v>
      </c>
      <c r="C194" s="14" t="s">
        <v>1628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26.25" customHeight="1">
      <c r="A195" s="18" t="s">
        <v>1629</v>
      </c>
      <c r="B195" s="15" t="s">
        <v>1539</v>
      </c>
      <c r="C195" s="14" t="s">
        <v>1630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26.25" customHeight="1">
      <c r="A196" s="18" t="s">
        <v>1631</v>
      </c>
      <c r="B196" s="15" t="s">
        <v>1539</v>
      </c>
      <c r="C196" s="14" t="s">
        <v>1632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26.25" customHeight="1">
      <c r="A197" s="18" t="s">
        <v>1633</v>
      </c>
      <c r="B197" s="15" t="s">
        <v>1539</v>
      </c>
      <c r="C197" s="14" t="s">
        <v>1634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26.25" customHeight="1">
      <c r="A198" s="18" t="s">
        <v>1635</v>
      </c>
      <c r="B198" s="15" t="s">
        <v>1539</v>
      </c>
      <c r="C198" s="14" t="s">
        <v>1636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26.25" customHeight="1">
      <c r="A199" s="18" t="s">
        <v>1637</v>
      </c>
      <c r="B199" s="15" t="s">
        <v>1539</v>
      </c>
      <c r="C199" s="14" t="s">
        <v>1638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26.25" customHeight="1">
      <c r="A200" s="18" t="s">
        <v>1639</v>
      </c>
      <c r="B200" s="15" t="s">
        <v>1539</v>
      </c>
      <c r="C200" s="14" t="s">
        <v>1640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26.25" customHeight="1">
      <c r="A201" s="18" t="s">
        <v>1641</v>
      </c>
      <c r="B201" s="15" t="s">
        <v>1539</v>
      </c>
      <c r="C201" s="14" t="s">
        <v>1642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26.25" customHeight="1">
      <c r="A202" s="18" t="s">
        <v>1643</v>
      </c>
      <c r="B202" s="15" t="s">
        <v>1539</v>
      </c>
      <c r="C202" s="14" t="s">
        <v>1644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26.25" customHeight="1">
      <c r="A203" s="18" t="s">
        <v>1645</v>
      </c>
      <c r="B203" s="15" t="s">
        <v>1539</v>
      </c>
      <c r="C203" s="14" t="s">
        <v>1646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26.25" customHeight="1">
      <c r="A204" s="18" t="s">
        <v>1647</v>
      </c>
      <c r="B204" s="15" t="s">
        <v>1539</v>
      </c>
      <c r="C204" s="14" t="s">
        <v>1648</v>
      </c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26.25" customHeight="1">
      <c r="A205" s="18" t="s">
        <v>1649</v>
      </c>
      <c r="B205" s="15" t="s">
        <v>1539</v>
      </c>
      <c r="C205" s="14" t="s">
        <v>1650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26.25" customHeight="1">
      <c r="A206" s="18" t="s">
        <v>1651</v>
      </c>
      <c r="B206" s="15" t="s">
        <v>1539</v>
      </c>
      <c r="C206" s="14" t="s">
        <v>1652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26.25" customHeight="1">
      <c r="A207" s="18" t="s">
        <v>1653</v>
      </c>
      <c r="B207" s="15" t="s">
        <v>1539</v>
      </c>
      <c r="C207" s="14" t="s">
        <v>1654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26.25" customHeight="1">
      <c r="A208" s="18" t="s">
        <v>1655</v>
      </c>
      <c r="B208" s="15" t="s">
        <v>1539</v>
      </c>
      <c r="C208" s="14" t="s">
        <v>1656</v>
      </c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26.25" customHeight="1">
      <c r="A209" s="18" t="s">
        <v>1657</v>
      </c>
      <c r="B209" s="15" t="s">
        <v>1539</v>
      </c>
      <c r="C209" s="14" t="s">
        <v>1658</v>
      </c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26.25" customHeight="1">
      <c r="A210" s="18" t="s">
        <v>1659</v>
      </c>
      <c r="B210" s="15" t="s">
        <v>1539</v>
      </c>
      <c r="C210" s="14" t="s">
        <v>1660</v>
      </c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26.25" customHeight="1">
      <c r="A211" s="18" t="s">
        <v>1661</v>
      </c>
      <c r="B211" s="15" t="s">
        <v>1539</v>
      </c>
      <c r="C211" s="14" t="s">
        <v>1662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26.25" customHeight="1">
      <c r="A212" s="18" t="s">
        <v>1663</v>
      </c>
      <c r="B212" s="15" t="s">
        <v>1539</v>
      </c>
      <c r="C212" s="14" t="s">
        <v>1664</v>
      </c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26.25" customHeight="1">
      <c r="A213" s="18" t="s">
        <v>1665</v>
      </c>
      <c r="B213" s="15" t="s">
        <v>1539</v>
      </c>
      <c r="C213" s="14" t="s">
        <v>1666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26.25" customHeight="1">
      <c r="A214" s="18" t="s">
        <v>1667</v>
      </c>
      <c r="B214" s="15" t="s">
        <v>1539</v>
      </c>
      <c r="C214" s="14" t="s">
        <v>1668</v>
      </c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26.25" customHeight="1">
      <c r="A215" s="18" t="s">
        <v>1669</v>
      </c>
      <c r="B215" s="15" t="s">
        <v>1539</v>
      </c>
      <c r="C215" s="14" t="s">
        <v>1670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26.25" customHeight="1">
      <c r="A216" s="18" t="s">
        <v>1671</v>
      </c>
      <c r="B216" s="15" t="s">
        <v>1539</v>
      </c>
      <c r="C216" s="14" t="s">
        <v>1672</v>
      </c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26.25" customHeight="1">
      <c r="A217" s="18" t="s">
        <v>1673</v>
      </c>
      <c r="B217" s="15" t="s">
        <v>1539</v>
      </c>
      <c r="C217" s="14" t="s">
        <v>1674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26.25" customHeight="1">
      <c r="A218" s="18" t="s">
        <v>1675</v>
      </c>
      <c r="B218" s="15" t="s">
        <v>1539</v>
      </c>
      <c r="C218" s="14" t="s">
        <v>1676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26.25" customHeight="1">
      <c r="A219" s="18" t="s">
        <v>1677</v>
      </c>
      <c r="B219" s="15" t="s">
        <v>1539</v>
      </c>
      <c r="C219" s="14" t="s">
        <v>1678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26.25" customHeight="1">
      <c r="A220" s="18" t="s">
        <v>1679</v>
      </c>
      <c r="B220" s="15" t="s">
        <v>1539</v>
      </c>
      <c r="C220" s="14" t="s">
        <v>1680</v>
      </c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26.25" customHeight="1">
      <c r="A221" s="18" t="s">
        <v>1681</v>
      </c>
      <c r="B221" s="15" t="s">
        <v>1539</v>
      </c>
      <c r="C221" s="14" t="s">
        <v>1682</v>
      </c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26.25" customHeight="1">
      <c r="A222" s="18" t="s">
        <v>1683</v>
      </c>
      <c r="B222" s="15" t="s">
        <v>1539</v>
      </c>
      <c r="C222" s="14" t="s">
        <v>1684</v>
      </c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26.25" customHeight="1">
      <c r="A223" s="18" t="s">
        <v>1685</v>
      </c>
      <c r="B223" s="15" t="s">
        <v>1539</v>
      </c>
      <c r="C223" s="14" t="s">
        <v>1686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26.25" customHeight="1">
      <c r="A224" s="18" t="s">
        <v>1687</v>
      </c>
      <c r="B224" s="15" t="s">
        <v>1539</v>
      </c>
      <c r="C224" s="14" t="s">
        <v>1688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26.25" customHeight="1">
      <c r="A225" s="18" t="s">
        <v>1689</v>
      </c>
      <c r="B225" s="15" t="s">
        <v>1539</v>
      </c>
      <c r="C225" s="14" t="s">
        <v>1690</v>
      </c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26.25" customHeight="1">
      <c r="A226" s="18" t="s">
        <v>1691</v>
      </c>
      <c r="B226" s="15" t="s">
        <v>1539</v>
      </c>
      <c r="C226" s="14" t="s">
        <v>1692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26.25" customHeight="1">
      <c r="A227" s="18" t="s">
        <v>1693</v>
      </c>
      <c r="B227" s="15" t="s">
        <v>1539</v>
      </c>
      <c r="C227" s="14" t="s">
        <v>1694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26.25" customHeight="1">
      <c r="A228" s="18" t="s">
        <v>1695</v>
      </c>
      <c r="B228" s="15" t="s">
        <v>1539</v>
      </c>
      <c r="C228" s="14" t="s">
        <v>1696</v>
      </c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26.25" customHeight="1">
      <c r="A229" s="18" t="s">
        <v>1520</v>
      </c>
      <c r="B229" s="15" t="s">
        <v>1539</v>
      </c>
      <c r="C229" s="14" t="s">
        <v>1697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26.25" customHeight="1">
      <c r="A230" s="18" t="s">
        <v>1522</v>
      </c>
      <c r="B230" s="15" t="s">
        <v>1539</v>
      </c>
      <c r="C230" s="14" t="s">
        <v>1698</v>
      </c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26.25" customHeight="1">
      <c r="A231" s="18" t="s">
        <v>1524</v>
      </c>
      <c r="B231" s="15" t="s">
        <v>1539</v>
      </c>
      <c r="C231" s="14" t="s">
        <v>1699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26.25" customHeight="1">
      <c r="A232" s="18" t="s">
        <v>1526</v>
      </c>
      <c r="B232" s="15" t="s">
        <v>1539</v>
      </c>
      <c r="C232" s="14" t="s">
        <v>1700</v>
      </c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26.25" customHeight="1">
      <c r="A233" s="18" t="s">
        <v>1528</v>
      </c>
      <c r="B233" s="15" t="s">
        <v>1539</v>
      </c>
      <c r="C233" s="14" t="s">
        <v>1701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26.25" customHeight="1">
      <c r="A234" s="19" t="s">
        <v>1530</v>
      </c>
      <c r="B234" s="15" t="s">
        <v>1539</v>
      </c>
      <c r="C234" s="14" t="s">
        <v>1702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26.25" customHeight="1">
      <c r="A235" s="19" t="s">
        <v>1532</v>
      </c>
      <c r="B235" s="15" t="s">
        <v>1539</v>
      </c>
      <c r="C235" s="14" t="s">
        <v>1703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26.25" customHeight="1">
      <c r="A236" s="19" t="s">
        <v>1534</v>
      </c>
      <c r="B236" s="15" t="s">
        <v>1539</v>
      </c>
      <c r="C236" s="14" t="s">
        <v>1704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26.25" customHeight="1">
      <c r="A237" s="19" t="s">
        <v>1536</v>
      </c>
      <c r="B237" s="15" t="s">
        <v>1539</v>
      </c>
      <c r="C237" s="14" t="s">
        <v>1705</v>
      </c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26.25" customHeight="1">
      <c r="A238" s="5"/>
      <c r="B238" s="5"/>
      <c r="C238" s="5"/>
      <c r="D238" s="5"/>
      <c r="E238" s="5"/>
      <c r="F238" s="5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26.25" customHeight="1">
      <c r="A239" s="18" t="s">
        <v>1706</v>
      </c>
      <c r="B239" s="15" t="s">
        <v>1707</v>
      </c>
      <c r="C239" s="14" t="s">
        <v>1708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26.25" customHeight="1">
      <c r="A240" s="18" t="s">
        <v>1709</v>
      </c>
      <c r="B240" s="15" t="s">
        <v>1707</v>
      </c>
      <c r="C240" s="14" t="s">
        <v>1710</v>
      </c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26.25" customHeight="1">
      <c r="A241" s="18" t="s">
        <v>1711</v>
      </c>
      <c r="B241" s="15" t="s">
        <v>1707</v>
      </c>
      <c r="C241" s="14" t="s">
        <v>1712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26.25" customHeight="1">
      <c r="A242" s="18" t="s">
        <v>1713</v>
      </c>
      <c r="B242" s="15" t="s">
        <v>1707</v>
      </c>
      <c r="C242" s="14" t="s">
        <v>1714</v>
      </c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26.25" customHeight="1">
      <c r="A243" s="18" t="s">
        <v>1715</v>
      </c>
      <c r="B243" s="15" t="s">
        <v>1707</v>
      </c>
      <c r="C243" s="14" t="s">
        <v>1716</v>
      </c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26.25" customHeight="1">
      <c r="A244" s="18" t="s">
        <v>1717</v>
      </c>
      <c r="B244" s="15" t="s">
        <v>1707</v>
      </c>
      <c r="C244" s="14" t="s">
        <v>1718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26.25" customHeight="1">
      <c r="A245" s="18" t="s">
        <v>1719</v>
      </c>
      <c r="B245" s="15" t="s">
        <v>1707</v>
      </c>
      <c r="C245" s="14" t="s">
        <v>1720</v>
      </c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26.25" customHeight="1">
      <c r="A246" s="18" t="s">
        <v>1721</v>
      </c>
      <c r="B246" s="15" t="s">
        <v>1707</v>
      </c>
      <c r="C246" s="14" t="s">
        <v>1722</v>
      </c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26.25" customHeight="1">
      <c r="A247" s="18" t="s">
        <v>1723</v>
      </c>
      <c r="B247" s="15" t="s">
        <v>1707</v>
      </c>
      <c r="C247" s="14" t="s">
        <v>1724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26.25" customHeight="1">
      <c r="A248" s="18" t="s">
        <v>1725</v>
      </c>
      <c r="B248" s="15" t="s">
        <v>1707</v>
      </c>
      <c r="C248" s="14" t="s">
        <v>1726</v>
      </c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26.25" customHeight="1">
      <c r="A249" s="18" t="s">
        <v>1727</v>
      </c>
      <c r="B249" s="15" t="s">
        <v>1707</v>
      </c>
      <c r="C249" s="14" t="s">
        <v>1728</v>
      </c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26.25" customHeight="1">
      <c r="A250" s="18" t="s">
        <v>1729</v>
      </c>
      <c r="B250" s="15" t="s">
        <v>1707</v>
      </c>
      <c r="C250" s="14" t="s">
        <v>1730</v>
      </c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26.25" customHeight="1">
      <c r="A251" s="18" t="s">
        <v>1731</v>
      </c>
      <c r="B251" s="15" t="s">
        <v>1707</v>
      </c>
      <c r="C251" s="14" t="s">
        <v>1732</v>
      </c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26.25" customHeight="1">
      <c r="A252" s="18" t="s">
        <v>1733</v>
      </c>
      <c r="B252" s="15" t="s">
        <v>1707</v>
      </c>
      <c r="C252" s="14" t="s">
        <v>1734</v>
      </c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26.25" customHeight="1">
      <c r="A253" s="18" t="s">
        <v>1735</v>
      </c>
      <c r="B253" s="15" t="s">
        <v>1707</v>
      </c>
      <c r="C253" s="14" t="s">
        <v>1736</v>
      </c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26.25" customHeight="1">
      <c r="A254" s="18" t="s">
        <v>1737</v>
      </c>
      <c r="B254" s="15" t="s">
        <v>1707</v>
      </c>
      <c r="C254" s="14" t="s">
        <v>1738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26.25" customHeight="1">
      <c r="A255" s="18" t="s">
        <v>1739</v>
      </c>
      <c r="B255" s="15" t="s">
        <v>1707</v>
      </c>
      <c r="C255" s="14" t="s">
        <v>1740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26.25" customHeight="1">
      <c r="A256" s="18" t="s">
        <v>1741</v>
      </c>
      <c r="B256" s="15" t="s">
        <v>1707</v>
      </c>
      <c r="C256" s="14" t="s">
        <v>1742</v>
      </c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26.25" customHeight="1">
      <c r="A257" s="18" t="s">
        <v>1743</v>
      </c>
      <c r="B257" s="15" t="s">
        <v>1707</v>
      </c>
      <c r="C257" s="14" t="s">
        <v>1744</v>
      </c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26.25" customHeight="1">
      <c r="A258" s="18" t="s">
        <v>1745</v>
      </c>
      <c r="B258" s="15" t="s">
        <v>1707</v>
      </c>
      <c r="C258" s="14" t="s">
        <v>1746</v>
      </c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26.25" customHeight="1">
      <c r="A259" s="18" t="s">
        <v>1747</v>
      </c>
      <c r="B259" s="15" t="s">
        <v>1707</v>
      </c>
      <c r="C259" s="14" t="s">
        <v>1748</v>
      </c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26.25" customHeight="1">
      <c r="A260" s="18" t="s">
        <v>1749</v>
      </c>
      <c r="B260" s="15" t="s">
        <v>1707</v>
      </c>
      <c r="C260" s="14" t="s">
        <v>1750</v>
      </c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26.25" customHeight="1">
      <c r="A261" s="18" t="s">
        <v>1751</v>
      </c>
      <c r="B261" s="15" t="s">
        <v>1707</v>
      </c>
      <c r="C261" s="14" t="s">
        <v>1752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26.25" customHeight="1">
      <c r="A262" s="18" t="s">
        <v>1753</v>
      </c>
      <c r="B262" s="15" t="s">
        <v>1707</v>
      </c>
      <c r="C262" s="14" t="s">
        <v>1754</v>
      </c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26.25" customHeight="1">
      <c r="A263" s="18" t="s">
        <v>1755</v>
      </c>
      <c r="B263" s="15" t="s">
        <v>1707</v>
      </c>
      <c r="C263" s="14" t="s">
        <v>1756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26.25" customHeight="1">
      <c r="A264" s="18" t="s">
        <v>1757</v>
      </c>
      <c r="B264" s="15" t="s">
        <v>1707</v>
      </c>
      <c r="C264" s="14" t="s">
        <v>1758</v>
      </c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26.25" customHeight="1">
      <c r="A265" s="18" t="s">
        <v>1759</v>
      </c>
      <c r="B265" s="15" t="s">
        <v>1707</v>
      </c>
      <c r="C265" s="14" t="s">
        <v>1760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26.25" customHeight="1">
      <c r="A266" s="18" t="s">
        <v>1761</v>
      </c>
      <c r="B266" s="15" t="s">
        <v>1707</v>
      </c>
      <c r="C266" s="14" t="s">
        <v>1762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26.25" customHeight="1">
      <c r="A267" s="19" t="s">
        <v>1530</v>
      </c>
      <c r="B267" s="15" t="s">
        <v>1707</v>
      </c>
      <c r="C267" s="14" t="s">
        <v>1763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26.25" customHeight="1">
      <c r="A268" s="19" t="s">
        <v>1532</v>
      </c>
      <c r="B268" s="15" t="s">
        <v>1707</v>
      </c>
      <c r="C268" s="14" t="s">
        <v>1764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26.25" customHeight="1">
      <c r="A269" s="19" t="s">
        <v>1534</v>
      </c>
      <c r="B269" s="15" t="s">
        <v>1707</v>
      </c>
      <c r="C269" s="14" t="s">
        <v>1765</v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26.25" customHeight="1">
      <c r="A270" s="19" t="s">
        <v>1536</v>
      </c>
      <c r="B270" s="15" t="s">
        <v>1707</v>
      </c>
      <c r="C270" s="14" t="s">
        <v>1766</v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26.25" customHeight="1">
      <c r="A271" s="5"/>
      <c r="B271" s="5"/>
      <c r="C271" s="5"/>
      <c r="D271" s="5"/>
      <c r="E271" s="5"/>
      <c r="F271" s="5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26.25" customHeight="1">
      <c r="A272" s="18" t="s">
        <v>1767</v>
      </c>
      <c r="B272" s="14" t="s">
        <v>1768</v>
      </c>
      <c r="C272" s="14" t="s">
        <v>1769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26.25" customHeight="1">
      <c r="A273" s="18" t="s">
        <v>1770</v>
      </c>
      <c r="B273" s="14" t="s">
        <v>1768</v>
      </c>
      <c r="C273" s="14" t="s">
        <v>1771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26.25" customHeight="1">
      <c r="A274" s="18" t="s">
        <v>1772</v>
      </c>
      <c r="B274" s="14" t="s">
        <v>1768</v>
      </c>
      <c r="C274" s="14" t="s">
        <v>1773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26.25" customHeight="1">
      <c r="A275" s="18" t="s">
        <v>1774</v>
      </c>
      <c r="B275" s="14" t="s">
        <v>1768</v>
      </c>
      <c r="C275" s="14" t="s">
        <v>1775</v>
      </c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26.25" customHeight="1">
      <c r="A276" s="18" t="s">
        <v>1776</v>
      </c>
      <c r="B276" s="14" t="s">
        <v>1768</v>
      </c>
      <c r="C276" s="14" t="s">
        <v>1777</v>
      </c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26.25" customHeight="1">
      <c r="A277" s="18" t="s">
        <v>1778</v>
      </c>
      <c r="B277" s="14" t="s">
        <v>1768</v>
      </c>
      <c r="C277" s="14" t="s">
        <v>1779</v>
      </c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26.25" customHeight="1">
      <c r="A278" s="18" t="s">
        <v>1780</v>
      </c>
      <c r="B278" s="14" t="s">
        <v>1768</v>
      </c>
      <c r="C278" s="14" t="s">
        <v>1781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26.25" customHeight="1">
      <c r="A279" s="18" t="s">
        <v>1782</v>
      </c>
      <c r="B279" s="14" t="s">
        <v>1768</v>
      </c>
      <c r="C279" s="14" t="s">
        <v>1783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26.25" customHeight="1">
      <c r="A280" s="18" t="s">
        <v>1784</v>
      </c>
      <c r="B280" s="14" t="s">
        <v>1768</v>
      </c>
      <c r="C280" s="14" t="s">
        <v>1785</v>
      </c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26.25" customHeight="1">
      <c r="A281" s="18" t="s">
        <v>1786</v>
      </c>
      <c r="B281" s="14" t="s">
        <v>1768</v>
      </c>
      <c r="C281" s="14" t="s">
        <v>1787</v>
      </c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26.25" customHeight="1">
      <c r="A282" s="18" t="s">
        <v>1788</v>
      </c>
      <c r="B282" s="14" t="s">
        <v>1768</v>
      </c>
      <c r="C282" s="14" t="s">
        <v>1789</v>
      </c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26.25" customHeight="1">
      <c r="A283" s="18" t="s">
        <v>1790</v>
      </c>
      <c r="B283" s="14" t="s">
        <v>1768</v>
      </c>
      <c r="C283" s="14" t="s">
        <v>1791</v>
      </c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26.25" customHeight="1">
      <c r="A284" s="18" t="s">
        <v>1792</v>
      </c>
      <c r="B284" s="14" t="s">
        <v>1768</v>
      </c>
      <c r="C284" s="14" t="s">
        <v>1793</v>
      </c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26.25" customHeight="1">
      <c r="A285" s="18" t="s">
        <v>1794</v>
      </c>
      <c r="B285" s="14" t="s">
        <v>1768</v>
      </c>
      <c r="C285" s="14" t="s">
        <v>1795</v>
      </c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26.25" customHeight="1">
      <c r="A286" s="18" t="s">
        <v>1796</v>
      </c>
      <c r="B286" s="14" t="s">
        <v>1768</v>
      </c>
      <c r="C286" s="14" t="s">
        <v>1797</v>
      </c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26.25" customHeight="1">
      <c r="A287" s="18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26.25" customHeight="1">
      <c r="A288" s="18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26.25" customHeight="1">
      <c r="A289" s="18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26.25" customHeight="1">
      <c r="A290" s="18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26.25" customHeight="1">
      <c r="A291" s="18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26.25" customHeight="1">
      <c r="A292" s="18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6.25" customHeight="1">
      <c r="A293" s="18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26.25" customHeight="1">
      <c r="A294" s="18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26.25" customHeight="1">
      <c r="A295" s="18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26.25" customHeight="1">
      <c r="A296" s="18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26.25" customHeight="1">
      <c r="A297" s="18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26.25" customHeight="1">
      <c r="A298" s="18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26.25" customHeight="1">
      <c r="A299" s="18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26.25" customHeight="1">
      <c r="A300" s="18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26.25" customHeight="1">
      <c r="A301" s="18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26.25" customHeight="1">
      <c r="A302" s="18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26.25" customHeight="1">
      <c r="A303" s="18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26.25" customHeight="1">
      <c r="A304" s="18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26.25" customHeight="1">
      <c r="A305" s="18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26.25" customHeight="1">
      <c r="A306" s="18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6.25" customHeight="1">
      <c r="A307" s="18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6.25" customHeight="1">
      <c r="A308" s="18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26.25" customHeight="1">
      <c r="A309" s="18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26.25" customHeight="1">
      <c r="A310" s="18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26.25" customHeight="1">
      <c r="A311" s="18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26.25" customHeight="1">
      <c r="A312" s="18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26.25" customHeight="1">
      <c r="A313" s="18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26.25" customHeight="1">
      <c r="A314" s="18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26.25" customHeight="1">
      <c r="A315" s="18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26.25" customHeight="1">
      <c r="A316" s="18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26.25" customHeight="1">
      <c r="A317" s="18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26.25" customHeight="1">
      <c r="A318" s="18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26.25" customHeight="1">
      <c r="A319" s="18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26.25" customHeight="1">
      <c r="A320" s="18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26.25" customHeight="1">
      <c r="A321" s="18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26.25" customHeight="1">
      <c r="A322" s="18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26.25" customHeight="1">
      <c r="A323" s="18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26.25" customHeight="1">
      <c r="A324" s="18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26.25" customHeight="1">
      <c r="A325" s="18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26.25" customHeight="1">
      <c r="A326" s="18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26.25" customHeight="1">
      <c r="A327" s="18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26.25" customHeight="1">
      <c r="A328" s="18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26.25" customHeight="1">
      <c r="A329" s="18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26.25" customHeight="1">
      <c r="A330" s="18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26.25" customHeight="1">
      <c r="A331" s="18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26.25" customHeight="1">
      <c r="A332" s="18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26.25" customHeight="1">
      <c r="A333" s="18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26.25" customHeight="1">
      <c r="A334" s="18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26.25" customHeight="1">
      <c r="A335" s="18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26.25" customHeight="1">
      <c r="A336" s="18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26.25" customHeight="1">
      <c r="A337" s="18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26.25" customHeight="1">
      <c r="A338" s="18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26.25" customHeight="1">
      <c r="A339" s="18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26.25" customHeight="1">
      <c r="A340" s="18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26.25" customHeight="1">
      <c r="A341" s="18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26.25" customHeight="1">
      <c r="A342" s="18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26.25" customHeight="1">
      <c r="A343" s="18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26.25" customHeight="1">
      <c r="A344" s="18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26.25" customHeight="1">
      <c r="A345" s="18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26.25" customHeight="1">
      <c r="A346" s="18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26.25" customHeight="1">
      <c r="A347" s="18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26.25" customHeight="1">
      <c r="A348" s="18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26.25" customHeight="1">
      <c r="A349" s="18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26.25" customHeight="1">
      <c r="A350" s="18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26.25" customHeight="1">
      <c r="A351" s="18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26.25" customHeight="1">
      <c r="A352" s="18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26.25" customHeight="1">
      <c r="A353" s="18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26.25" customHeight="1">
      <c r="A354" s="18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26.25" customHeight="1">
      <c r="A355" s="18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26.25" customHeight="1">
      <c r="A356" s="18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26.25" customHeight="1">
      <c r="A357" s="18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26.25" customHeight="1">
      <c r="A358" s="18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26.25" customHeight="1">
      <c r="A359" s="18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26.25" customHeight="1">
      <c r="A360" s="18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26.25" customHeight="1">
      <c r="A361" s="18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26.25" customHeight="1">
      <c r="A362" s="18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26.25" customHeight="1">
      <c r="A363" s="18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26.25" customHeight="1">
      <c r="A364" s="18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26.25" customHeight="1">
      <c r="A365" s="18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26.25" customHeight="1">
      <c r="A366" s="18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26.25" customHeight="1">
      <c r="A367" s="18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26.25" customHeight="1">
      <c r="A368" s="18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26.25" customHeight="1">
      <c r="A369" s="18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26.25" customHeight="1">
      <c r="A370" s="18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26.25" customHeight="1">
      <c r="A371" s="18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26.25" customHeight="1">
      <c r="A372" s="18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26.25" customHeight="1">
      <c r="A373" s="18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26.25" customHeight="1">
      <c r="A374" s="18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26.25" customHeight="1">
      <c r="A375" s="18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26.25" customHeight="1">
      <c r="A376" s="18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26.25" customHeight="1">
      <c r="A377" s="18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26.25" customHeight="1">
      <c r="A378" s="18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6.25" customHeight="1">
      <c r="A379" s="18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26.25" customHeight="1">
      <c r="A380" s="18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26.25" customHeight="1">
      <c r="A381" s="18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26.25" customHeight="1">
      <c r="A382" s="18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26.25" customHeight="1">
      <c r="A383" s="18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26.25" customHeight="1">
      <c r="A384" s="18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26.25" customHeight="1">
      <c r="A385" s="18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26.25" customHeight="1">
      <c r="A386" s="18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26.25" customHeight="1">
      <c r="A387" s="18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26.25" customHeight="1">
      <c r="A388" s="18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26.25" customHeight="1">
      <c r="A389" s="18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26.25" customHeight="1">
      <c r="A390" s="18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26.25" customHeight="1">
      <c r="A391" s="18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26.25" customHeight="1">
      <c r="A392" s="18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26.25" customHeight="1">
      <c r="A393" s="18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26.25" customHeight="1">
      <c r="A394" s="18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26.25" customHeight="1">
      <c r="A395" s="18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26.25" customHeight="1">
      <c r="A396" s="18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26.25" customHeight="1">
      <c r="A397" s="18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26.25" customHeight="1">
      <c r="A398" s="18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26.25" customHeight="1">
      <c r="A399" s="18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26.25" customHeight="1">
      <c r="A400" s="18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26.25" customHeight="1">
      <c r="A401" s="18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26.25" customHeight="1">
      <c r="A402" s="18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26.25" customHeight="1">
      <c r="A403" s="18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26.25" customHeight="1">
      <c r="A404" s="18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26.25" customHeight="1">
      <c r="A405" s="18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26.25" customHeight="1">
      <c r="A406" s="18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26.25" customHeight="1">
      <c r="A407" s="18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26.25" customHeight="1">
      <c r="A408" s="18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26.25" customHeight="1">
      <c r="A409" s="18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26.25" customHeight="1">
      <c r="A410" s="18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26.25" customHeight="1">
      <c r="A411" s="18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26.25" customHeight="1">
      <c r="A412" s="18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26.25" customHeight="1">
      <c r="A413" s="18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26.25" customHeight="1">
      <c r="A414" s="18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26.25" customHeight="1">
      <c r="A415" s="18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26.25" customHeight="1">
      <c r="A416" s="18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26.25" customHeight="1">
      <c r="A417" s="18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26.25" customHeight="1">
      <c r="A418" s="18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26.25" customHeight="1">
      <c r="A419" s="18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26.25" customHeight="1">
      <c r="A420" s="18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26.25" customHeight="1">
      <c r="A421" s="18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26.25" customHeight="1">
      <c r="A422" s="18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26.25" customHeight="1">
      <c r="A423" s="18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26.25" customHeight="1">
      <c r="A424" s="18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26.25" customHeight="1">
      <c r="A425" s="18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26.25" customHeight="1">
      <c r="A426" s="18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26.25" customHeight="1">
      <c r="A427" s="18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26.25" customHeight="1">
      <c r="A428" s="18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26.25" customHeight="1">
      <c r="A429" s="18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26.25" customHeight="1">
      <c r="A430" s="18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26.25" customHeight="1">
      <c r="A431" s="18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26.25" customHeight="1">
      <c r="A432" s="18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26.25" customHeight="1">
      <c r="A433" s="18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26.25" customHeight="1">
      <c r="A434" s="18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26.25" customHeight="1">
      <c r="A435" s="18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26.25" customHeight="1">
      <c r="A436" s="18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26.25" customHeight="1">
      <c r="A437" s="18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26.25" customHeight="1">
      <c r="A438" s="18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26.25" customHeight="1">
      <c r="A439" s="18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26.25" customHeight="1">
      <c r="A440" s="18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26.25" customHeight="1">
      <c r="A441" s="18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26.25" customHeight="1">
      <c r="A442" s="18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26.25" customHeight="1">
      <c r="A443" s="18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26.25" customHeight="1">
      <c r="A444" s="18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26.25" customHeight="1">
      <c r="A445" s="18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26.25" customHeight="1">
      <c r="A446" s="18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26.25" customHeight="1">
      <c r="A447" s="18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26.25" customHeight="1">
      <c r="A448" s="18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26.25" customHeight="1">
      <c r="A449" s="18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26.25" customHeight="1">
      <c r="A450" s="18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26.25" customHeight="1">
      <c r="A451" s="18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26.25" customHeight="1">
      <c r="A452" s="18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26.25" customHeight="1">
      <c r="A453" s="18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26.25" customHeight="1">
      <c r="A454" s="18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26.25" customHeight="1">
      <c r="A455" s="18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26.25" customHeight="1">
      <c r="A456" s="18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26.25" customHeight="1">
      <c r="A457" s="18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26.25" customHeight="1">
      <c r="A458" s="18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26.25" customHeight="1">
      <c r="A459" s="18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26.25" customHeight="1">
      <c r="A460" s="18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26.25" customHeight="1">
      <c r="A461" s="18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26.25" customHeight="1">
      <c r="A462" s="18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26.25" customHeight="1">
      <c r="A463" s="18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26.25" customHeight="1">
      <c r="A464" s="18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26.25" customHeight="1">
      <c r="A465" s="18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26.25" customHeight="1">
      <c r="A466" s="18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26.25" customHeight="1">
      <c r="A467" s="18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26.25" customHeight="1">
      <c r="A468" s="18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26.25" customHeight="1">
      <c r="A469" s="18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26.25" customHeight="1">
      <c r="A470" s="18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26.25" customHeight="1">
      <c r="A471" s="18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26.25" customHeight="1">
      <c r="A472" s="18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26.25" customHeight="1">
      <c r="A473" s="18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26.25" customHeight="1">
      <c r="A474" s="18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26.25" customHeight="1">
      <c r="A475" s="18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26.25" customHeight="1">
      <c r="A476" s="18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26.25" customHeight="1">
      <c r="A477" s="18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26.25" customHeight="1">
      <c r="A478" s="18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26.25" customHeight="1">
      <c r="A479" s="18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26.25" customHeight="1">
      <c r="A480" s="18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26.25" customHeight="1">
      <c r="A481" s="18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26.25" customHeight="1">
      <c r="A482" s="18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26.25" customHeight="1">
      <c r="A483" s="18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26.25" customHeight="1">
      <c r="A484" s="18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26.25" customHeight="1">
      <c r="A485" s="18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26.25" customHeight="1">
      <c r="A486" s="18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26.25" customHeight="1">
      <c r="A487" s="18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26.25" customHeight="1">
      <c r="A488" s="18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26.25" customHeight="1">
      <c r="A489" s="18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26.25" customHeight="1">
      <c r="A490" s="18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26.25" customHeight="1">
      <c r="A491" s="18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26.25" customHeight="1">
      <c r="A492" s="18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26.25" customHeight="1">
      <c r="A493" s="18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26.25" customHeight="1">
      <c r="A494" s="18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26.25" customHeight="1">
      <c r="A495" s="18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26.25" customHeight="1">
      <c r="A496" s="18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26.25" customHeight="1">
      <c r="A497" s="18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26.25" customHeight="1">
      <c r="A498" s="18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26.25" customHeight="1">
      <c r="A499" s="18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26.25" customHeight="1">
      <c r="A500" s="18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26.25" customHeight="1">
      <c r="A501" s="18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26.25" customHeight="1">
      <c r="A502" s="18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26.25" customHeight="1">
      <c r="A503" s="18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26.25" customHeight="1">
      <c r="A504" s="18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26.25" customHeight="1">
      <c r="A505" s="18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26.25" customHeight="1">
      <c r="A506" s="18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26.25" customHeight="1">
      <c r="A507" s="18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26.25" customHeight="1">
      <c r="A508" s="18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26.25" customHeight="1">
      <c r="A509" s="18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26.25" customHeight="1">
      <c r="A510" s="18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26.25" customHeight="1">
      <c r="A511" s="18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26.25" customHeight="1">
      <c r="A512" s="18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26.25" customHeight="1">
      <c r="A513" s="18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26.25" customHeight="1">
      <c r="A514" s="18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26.25" customHeight="1">
      <c r="A515" s="18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26.25" customHeight="1">
      <c r="A516" s="18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26.25" customHeight="1">
      <c r="A517" s="18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26.25" customHeight="1">
      <c r="A518" s="18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26.25" customHeight="1">
      <c r="A519" s="18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26.25" customHeight="1">
      <c r="A520" s="18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26.25" customHeight="1">
      <c r="A521" s="18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26.25" customHeight="1">
      <c r="A522" s="18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26.25" customHeight="1">
      <c r="A523" s="18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26.25" customHeight="1">
      <c r="A524" s="18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26.25" customHeight="1">
      <c r="A525" s="18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26.25" customHeight="1">
      <c r="A526" s="18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26.25" customHeight="1">
      <c r="A527" s="18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26.25" customHeight="1">
      <c r="A528" s="18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26.25" customHeight="1">
      <c r="A529" s="18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26.25" customHeight="1">
      <c r="A530" s="18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26.25" customHeight="1">
      <c r="A531" s="18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26.25" customHeight="1">
      <c r="A532" s="18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26.25" customHeight="1">
      <c r="A533" s="18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26.25" customHeight="1">
      <c r="A534" s="18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26.25" customHeight="1">
      <c r="A535" s="18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26.25" customHeight="1">
      <c r="A536" s="18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26.25" customHeight="1">
      <c r="A537" s="18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26.25" customHeight="1">
      <c r="A538" s="18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26.25" customHeight="1">
      <c r="A539" s="18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26.25" customHeight="1">
      <c r="A540" s="18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26.25" customHeight="1">
      <c r="A541" s="18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26.25" customHeight="1">
      <c r="A542" s="18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26.25" customHeight="1">
      <c r="A543" s="18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26.25" customHeight="1">
      <c r="A544" s="18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26.25" customHeight="1">
      <c r="A545" s="18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26.25" customHeight="1">
      <c r="A546" s="18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26.25" customHeight="1">
      <c r="A547" s="18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26.25" customHeight="1">
      <c r="A548" s="18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26.25" customHeight="1">
      <c r="A549" s="18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26.25" customHeight="1">
      <c r="A550" s="18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26.25" customHeight="1">
      <c r="A551" s="18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26.25" customHeight="1">
      <c r="A552" s="18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26.25" customHeight="1">
      <c r="A553" s="18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26.25" customHeight="1">
      <c r="A554" s="18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26.25" customHeight="1">
      <c r="A555" s="18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26.25" customHeight="1">
      <c r="A556" s="18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26.25" customHeight="1">
      <c r="A557" s="18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26.25" customHeight="1">
      <c r="A558" s="18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26.25" customHeight="1">
      <c r="A559" s="18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26.25" customHeight="1">
      <c r="A560" s="18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26.25" customHeight="1">
      <c r="A561" s="18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26.25" customHeight="1">
      <c r="A562" s="18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26.25" customHeight="1">
      <c r="A563" s="18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26.25" customHeight="1">
      <c r="A564" s="18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26.25" customHeight="1">
      <c r="A565" s="18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26.25" customHeight="1">
      <c r="A566" s="18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26.25" customHeight="1">
      <c r="A567" s="18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26.25" customHeight="1">
      <c r="A568" s="18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26.25" customHeight="1">
      <c r="A569" s="18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26.25" customHeight="1">
      <c r="A570" s="18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26.25" customHeight="1">
      <c r="A571" s="18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26.25" customHeight="1">
      <c r="A572" s="18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26.25" customHeight="1">
      <c r="A573" s="18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26.25" customHeight="1">
      <c r="A574" s="18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26.25" customHeight="1">
      <c r="A575" s="18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26.25" customHeight="1">
      <c r="A576" s="18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26.25" customHeight="1">
      <c r="A577" s="18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26.25" customHeight="1">
      <c r="A578" s="18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26.25" customHeight="1">
      <c r="A579" s="18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26.25" customHeight="1">
      <c r="A580" s="18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26.25" customHeight="1">
      <c r="A581" s="18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26.25" customHeight="1">
      <c r="A582" s="18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26.25" customHeight="1">
      <c r="A583" s="18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26.25" customHeight="1">
      <c r="A584" s="18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26.25" customHeight="1">
      <c r="A585" s="18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26.25" customHeight="1">
      <c r="A586" s="18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26.25" customHeight="1">
      <c r="A587" s="18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26.25" customHeight="1">
      <c r="A588" s="18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26.25" customHeight="1">
      <c r="A589" s="18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26.25" customHeight="1">
      <c r="A590" s="18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26.25" customHeight="1">
      <c r="A591" s="18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26.25" customHeight="1">
      <c r="A592" s="18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26.25" customHeight="1">
      <c r="A593" s="18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26.25" customHeight="1">
      <c r="A594" s="18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26.25" customHeight="1">
      <c r="A595" s="18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26.25" customHeight="1">
      <c r="A596" s="18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26.25" customHeight="1">
      <c r="A597" s="18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26.25" customHeight="1">
      <c r="A598" s="18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26.25" customHeight="1">
      <c r="A599" s="18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26.25" customHeight="1">
      <c r="A600" s="18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26.25" customHeight="1">
      <c r="A601" s="18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26.25" customHeight="1">
      <c r="A602" s="18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26.25" customHeight="1">
      <c r="A603" s="18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26.25" customHeight="1">
      <c r="A604" s="18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26.25" customHeight="1">
      <c r="A605" s="18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26.25" customHeight="1">
      <c r="A606" s="18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26.25" customHeight="1">
      <c r="A607" s="18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26.25" customHeight="1">
      <c r="A608" s="18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26.25" customHeight="1">
      <c r="A609" s="18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26.25" customHeight="1">
      <c r="A610" s="18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26.25" customHeight="1">
      <c r="A611" s="18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26.25" customHeight="1">
      <c r="A612" s="18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26.25" customHeight="1">
      <c r="A613" s="18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26.25" customHeight="1">
      <c r="A614" s="18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26.25" customHeight="1">
      <c r="A615" s="18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26.25" customHeight="1">
      <c r="A616" s="18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26.25" customHeight="1">
      <c r="A617" s="18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26.25" customHeight="1">
      <c r="A618" s="18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26.25" customHeight="1">
      <c r="A619" s="18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26.25" customHeight="1">
      <c r="A620" s="18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26.25" customHeight="1">
      <c r="A621" s="18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26.25" customHeight="1">
      <c r="A622" s="18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26.25" customHeight="1">
      <c r="A623" s="18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26.25" customHeight="1">
      <c r="A624" s="18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26.25" customHeight="1">
      <c r="A625" s="18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26.25" customHeight="1">
      <c r="A626" s="18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26.25" customHeight="1">
      <c r="A627" s="18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26.25" customHeight="1">
      <c r="A628" s="18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26.25" customHeight="1">
      <c r="A629" s="18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26.25" customHeight="1">
      <c r="A630" s="18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26.25" customHeight="1">
      <c r="A631" s="18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26.25" customHeight="1">
      <c r="A632" s="18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26.25" customHeight="1">
      <c r="A633" s="18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26.25" customHeight="1">
      <c r="A634" s="18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26.25" customHeight="1">
      <c r="A635" s="18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26.25" customHeight="1">
      <c r="A636" s="18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26.25" customHeight="1">
      <c r="A637" s="18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26.25" customHeight="1">
      <c r="A638" s="18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26.25" customHeight="1">
      <c r="A639" s="18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26.25" customHeight="1">
      <c r="A640" s="18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26.25" customHeight="1">
      <c r="A641" s="18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26.25" customHeight="1">
      <c r="A642" s="18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26.25" customHeight="1">
      <c r="A643" s="18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26.25" customHeight="1">
      <c r="A644" s="18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26.25" customHeight="1">
      <c r="A645" s="18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26.25" customHeight="1">
      <c r="A646" s="18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26.25" customHeight="1">
      <c r="A647" s="18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26.25" customHeight="1">
      <c r="A648" s="18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26.25" customHeight="1">
      <c r="A649" s="18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26.25" customHeight="1">
      <c r="A650" s="18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26.25" customHeight="1">
      <c r="A651" s="18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26.25" customHeight="1">
      <c r="A652" s="18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26.25" customHeight="1">
      <c r="A653" s="18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26.25" customHeight="1">
      <c r="A654" s="18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26.25" customHeight="1">
      <c r="A655" s="18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26.25" customHeight="1">
      <c r="A656" s="18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26.25" customHeight="1">
      <c r="A657" s="18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26.25" customHeight="1">
      <c r="A658" s="18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26.25" customHeight="1">
      <c r="A659" s="18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26.25" customHeight="1">
      <c r="A660" s="18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26.25" customHeight="1">
      <c r="A661" s="18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26.25" customHeight="1">
      <c r="A662" s="18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26.25" customHeight="1">
      <c r="A663" s="18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26.25" customHeight="1">
      <c r="A664" s="18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26.25" customHeight="1">
      <c r="A665" s="18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26.25" customHeight="1">
      <c r="A666" s="18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26.25" customHeight="1">
      <c r="A667" s="18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26.25" customHeight="1">
      <c r="A668" s="18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26.25" customHeight="1">
      <c r="A669" s="18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26.25" customHeight="1">
      <c r="A670" s="18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26.25" customHeight="1">
      <c r="A671" s="18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26.25" customHeight="1">
      <c r="A672" s="18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26.25" customHeight="1">
      <c r="A673" s="18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26.25" customHeight="1">
      <c r="A674" s="18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26.25" customHeight="1">
      <c r="A675" s="18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26.25" customHeight="1">
      <c r="A676" s="18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26.25" customHeight="1">
      <c r="A677" s="18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26.25" customHeight="1">
      <c r="A678" s="18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26.25" customHeight="1">
      <c r="A679" s="18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26.25" customHeight="1">
      <c r="A680" s="18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26.25" customHeight="1">
      <c r="A681" s="18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26.25" customHeight="1">
      <c r="A682" s="18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26.25" customHeight="1">
      <c r="A683" s="18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26.25" customHeight="1">
      <c r="A684" s="18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26.25" customHeight="1">
      <c r="A685" s="18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26.25" customHeight="1">
      <c r="A686" s="18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26.25" customHeight="1">
      <c r="A687" s="18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26.25" customHeight="1">
      <c r="A688" s="18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26.25" customHeight="1">
      <c r="A689" s="18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26.25" customHeight="1">
      <c r="A690" s="18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26.25" customHeight="1">
      <c r="A691" s="18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26.25" customHeight="1">
      <c r="A692" s="18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26.25" customHeight="1">
      <c r="A693" s="18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26.25" customHeight="1">
      <c r="A694" s="18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26.25" customHeight="1">
      <c r="A695" s="18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26.25" customHeight="1">
      <c r="A696" s="18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26.25" customHeight="1">
      <c r="A697" s="18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26.25" customHeight="1">
      <c r="A698" s="18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26.25" customHeight="1">
      <c r="A699" s="18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26.25" customHeight="1">
      <c r="A700" s="18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26.25" customHeight="1">
      <c r="A701" s="18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26.25" customHeight="1">
      <c r="A702" s="18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26.25" customHeight="1">
      <c r="A703" s="18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26.25" customHeight="1">
      <c r="A704" s="18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6.25" customHeight="1">
      <c r="A705" s="18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26.25" customHeight="1">
      <c r="A706" s="18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26.25" customHeight="1">
      <c r="A707" s="18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26.25" customHeight="1">
      <c r="A708" s="18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26.25" customHeight="1">
      <c r="A709" s="18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26.25" customHeight="1">
      <c r="A710" s="18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26.25" customHeight="1">
      <c r="A711" s="18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26.25" customHeight="1">
      <c r="A712" s="18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26.25" customHeight="1">
      <c r="A713" s="18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26.25" customHeight="1">
      <c r="A714" s="18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26.25" customHeight="1">
      <c r="A715" s="18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26.25" customHeight="1">
      <c r="A716" s="18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26.25" customHeight="1">
      <c r="A717" s="18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26.25" customHeight="1">
      <c r="A718" s="18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26.25" customHeight="1">
      <c r="A719" s="18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26.25" customHeight="1">
      <c r="A720" s="18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26.25" customHeight="1">
      <c r="A721" s="18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26.25" customHeight="1">
      <c r="A722" s="18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26.25" customHeight="1">
      <c r="A723" s="18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26.25" customHeight="1">
      <c r="A724" s="18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26.25" customHeight="1">
      <c r="A725" s="18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26.25" customHeight="1">
      <c r="A726" s="18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26.25" customHeight="1">
      <c r="A727" s="18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26.25" customHeight="1">
      <c r="A728" s="18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26.25" customHeight="1">
      <c r="A729" s="18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26.25" customHeight="1">
      <c r="A730" s="18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26.25" customHeight="1">
      <c r="A731" s="18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26.25" customHeight="1">
      <c r="A732" s="18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26.25" customHeight="1">
      <c r="A733" s="18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26.25" customHeight="1">
      <c r="A734" s="18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26.25" customHeight="1">
      <c r="A735" s="18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26.25" customHeight="1">
      <c r="A736" s="18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26.25" customHeight="1">
      <c r="A737" s="18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26.25" customHeight="1">
      <c r="A738" s="18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26.25" customHeight="1">
      <c r="A739" s="18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26.25" customHeight="1">
      <c r="A740" s="18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26.25" customHeight="1">
      <c r="A741" s="18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26.25" customHeight="1">
      <c r="A742" s="18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26.25" customHeight="1">
      <c r="A743" s="18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26.25" customHeight="1">
      <c r="A744" s="18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26.25" customHeight="1">
      <c r="A745" s="18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26.25" customHeight="1">
      <c r="A746" s="18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26.25" customHeight="1">
      <c r="A747" s="18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26.25" customHeight="1">
      <c r="A748" s="18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26.25" customHeight="1">
      <c r="A749" s="18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26.25" customHeight="1">
      <c r="A750" s="18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26.25" customHeight="1">
      <c r="A751" s="18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26.25" customHeight="1">
      <c r="A752" s="18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26.25" customHeight="1">
      <c r="A753" s="18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26.25" customHeight="1">
      <c r="A754" s="18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26.25" customHeight="1">
      <c r="A755" s="18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26.25" customHeight="1">
      <c r="A756" s="18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26.25" customHeight="1">
      <c r="A757" s="18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26.25" customHeight="1">
      <c r="A758" s="18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26.25" customHeight="1">
      <c r="A759" s="18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26.25" customHeight="1">
      <c r="A760" s="18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26.25" customHeight="1">
      <c r="A761" s="18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26.25" customHeight="1">
      <c r="A762" s="18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26.25" customHeight="1">
      <c r="A763" s="18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26.25" customHeight="1">
      <c r="A764" s="18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26.25" customHeight="1">
      <c r="A765" s="18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26.25" customHeight="1">
      <c r="A766" s="18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26.25" customHeight="1">
      <c r="A767" s="18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26.25" customHeight="1">
      <c r="A768" s="18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26.25" customHeight="1">
      <c r="A769" s="18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26.25" customHeight="1">
      <c r="A770" s="18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26.25" customHeight="1">
      <c r="A771" s="18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26.25" customHeight="1">
      <c r="A772" s="18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26.25" customHeight="1">
      <c r="A773" s="18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26.25" customHeight="1">
      <c r="A774" s="18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26.25" customHeight="1">
      <c r="A775" s="18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26.25" customHeight="1">
      <c r="A776" s="18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26.25" customHeight="1">
      <c r="A777" s="18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26.25" customHeight="1">
      <c r="A778" s="18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26.25" customHeight="1">
      <c r="A779" s="18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26.25" customHeight="1">
      <c r="A780" s="18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26.25" customHeight="1">
      <c r="A781" s="18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26.25" customHeight="1">
      <c r="A782" s="18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26.25" customHeight="1">
      <c r="A783" s="18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26.25" customHeight="1">
      <c r="A784" s="18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26.25" customHeight="1">
      <c r="A785" s="18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26.25" customHeight="1">
      <c r="A786" s="18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26.25" customHeight="1">
      <c r="A787" s="18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26.25" customHeight="1">
      <c r="A788" s="18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26.25" customHeight="1">
      <c r="A789" s="18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26.25" customHeight="1">
      <c r="A790" s="18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26.25" customHeight="1">
      <c r="A791" s="18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26.25" customHeight="1">
      <c r="A792" s="18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26.25" customHeight="1">
      <c r="A793" s="18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26.25" customHeight="1">
      <c r="A794" s="18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26.25" customHeight="1">
      <c r="A795" s="18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26.25" customHeight="1">
      <c r="A796" s="18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26.25" customHeight="1">
      <c r="A797" s="18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26.25" customHeight="1">
      <c r="A798" s="18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26.25" customHeight="1">
      <c r="A799" s="18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26.25" customHeight="1">
      <c r="A800" s="18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26.25" customHeight="1">
      <c r="A801" s="18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26.25" customHeight="1">
      <c r="A802" s="18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26.25" customHeight="1">
      <c r="A803" s="18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26.25" customHeight="1">
      <c r="A804" s="18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26.25" customHeight="1">
      <c r="A805" s="18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26.25" customHeight="1">
      <c r="A806" s="18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26.25" customHeight="1">
      <c r="A807" s="18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26.25" customHeight="1">
      <c r="A808" s="18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26.25" customHeight="1">
      <c r="A809" s="18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26.25" customHeight="1">
      <c r="A810" s="18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26.25" customHeight="1">
      <c r="A811" s="18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26.25" customHeight="1">
      <c r="A812" s="18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26.25" customHeight="1">
      <c r="A813" s="18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26.25" customHeight="1">
      <c r="A814" s="18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26.25" customHeight="1">
      <c r="A815" s="18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26.25" customHeight="1">
      <c r="A816" s="18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26.25" customHeight="1">
      <c r="A817" s="18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26.25" customHeight="1">
      <c r="A818" s="18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26.25" customHeight="1">
      <c r="A819" s="18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26.25" customHeight="1">
      <c r="A820" s="18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26.25" customHeight="1">
      <c r="A821" s="18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26.25" customHeight="1">
      <c r="A822" s="18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26.25" customHeight="1">
      <c r="A823" s="18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26.25" customHeight="1">
      <c r="A824" s="18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26.25" customHeight="1">
      <c r="A825" s="18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26.25" customHeight="1">
      <c r="A826" s="18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26.25" customHeight="1">
      <c r="A827" s="18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26.25" customHeight="1">
      <c r="A828" s="18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26.25" customHeight="1">
      <c r="A829" s="18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26.25" customHeight="1">
      <c r="A830" s="18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26.25" customHeight="1">
      <c r="A831" s="18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26.25" customHeight="1">
      <c r="A832" s="18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26.25" customHeight="1">
      <c r="A833" s="18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26.25" customHeight="1">
      <c r="A834" s="18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26.25" customHeight="1">
      <c r="A835" s="18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26.25" customHeight="1">
      <c r="A836" s="18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26.25" customHeight="1">
      <c r="A837" s="18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26.25" customHeight="1">
      <c r="A838" s="18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26.25" customHeight="1">
      <c r="A839" s="18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26.25" customHeight="1">
      <c r="A840" s="18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26.25" customHeight="1">
      <c r="A841" s="18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26.25" customHeight="1">
      <c r="A842" s="18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26.25" customHeight="1">
      <c r="A843" s="18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26.25" customHeight="1">
      <c r="A844" s="18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26.25" customHeight="1">
      <c r="A845" s="18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26.25" customHeight="1">
      <c r="A846" s="18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26.25" customHeight="1">
      <c r="A847" s="18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26.25" customHeight="1">
      <c r="A848" s="18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26.25" customHeight="1">
      <c r="A849" s="18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26.25" customHeight="1">
      <c r="A850" s="18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26.25" customHeight="1">
      <c r="A851" s="18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26.25" customHeight="1">
      <c r="A852" s="18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26.25" customHeight="1">
      <c r="A853" s="18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26.25" customHeight="1">
      <c r="A854" s="18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26.25" customHeight="1">
      <c r="A855" s="18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26.25" customHeight="1">
      <c r="A856" s="18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26.25" customHeight="1">
      <c r="A857" s="18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26.25" customHeight="1">
      <c r="A858" s="18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26.25" customHeight="1">
      <c r="A859" s="18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26.25" customHeight="1">
      <c r="A860" s="18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26.25" customHeight="1">
      <c r="A861" s="18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26.25" customHeight="1">
      <c r="A862" s="18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26.25" customHeight="1">
      <c r="A863" s="18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26.25" customHeight="1">
      <c r="A864" s="18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26.25" customHeight="1">
      <c r="A865" s="18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26.25" customHeight="1">
      <c r="A866" s="18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26.25" customHeight="1">
      <c r="A867" s="18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26.25" customHeight="1">
      <c r="A868" s="18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26.25" customHeight="1">
      <c r="A869" s="18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26.25" customHeight="1">
      <c r="A870" s="18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26.25" customHeight="1">
      <c r="A871" s="18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26.25" customHeight="1">
      <c r="A872" s="18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26.25" customHeight="1">
      <c r="A873" s="18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26.25" customHeight="1">
      <c r="A874" s="18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26.25" customHeight="1">
      <c r="A875" s="18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26.25" customHeight="1">
      <c r="A876" s="18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26.25" customHeight="1">
      <c r="A877" s="18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26.25" customHeight="1">
      <c r="A878" s="18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26.25" customHeight="1">
      <c r="A879" s="18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26.25" customHeight="1">
      <c r="A880" s="18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26.25" customHeight="1">
      <c r="A881" s="18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26.25" customHeight="1">
      <c r="A882" s="18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26.25" customHeight="1">
      <c r="A883" s="18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26.25" customHeight="1">
      <c r="A884" s="18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26.25" customHeight="1">
      <c r="A885" s="18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26.25" customHeight="1">
      <c r="A886" s="18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26.25" customHeight="1">
      <c r="A887" s="18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26.25" customHeight="1">
      <c r="A888" s="18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26.25" customHeight="1">
      <c r="A889" s="18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26.25" customHeight="1">
      <c r="A890" s="18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26.25" customHeight="1">
      <c r="A891" s="18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26.25" customHeight="1">
      <c r="A892" s="18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26.25" customHeight="1">
      <c r="A893" s="18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26.25" customHeight="1">
      <c r="A894" s="18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26.25" customHeight="1">
      <c r="A895" s="18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26.25" customHeight="1">
      <c r="A896" s="18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26.25" customHeight="1">
      <c r="A897" s="18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26.25" customHeight="1">
      <c r="A898" s="18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26.25" customHeight="1">
      <c r="A899" s="18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26.25" customHeight="1">
      <c r="A900" s="18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26.25" customHeight="1">
      <c r="A901" s="18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26.25" customHeight="1">
      <c r="A902" s="18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26.25" customHeight="1">
      <c r="A903" s="18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26.25" customHeight="1">
      <c r="A904" s="18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26.25" customHeight="1">
      <c r="A905" s="18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26.25" customHeight="1">
      <c r="A906" s="18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26.25" customHeight="1">
      <c r="A907" s="18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26.25" customHeight="1">
      <c r="A908" s="18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26.25" customHeight="1">
      <c r="A909" s="18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26.25" customHeight="1">
      <c r="A910" s="18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26.25" customHeight="1">
      <c r="A911" s="18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26.25" customHeight="1">
      <c r="A912" s="18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26.25" customHeight="1">
      <c r="A913" s="18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26.25" customHeight="1">
      <c r="A914" s="18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26.25" customHeight="1">
      <c r="A915" s="18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26.25" customHeight="1">
      <c r="A916" s="18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26.25" customHeight="1">
      <c r="A917" s="18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26.25" customHeight="1">
      <c r="A918" s="18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26.25" customHeight="1">
      <c r="A919" s="18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26.25" customHeight="1">
      <c r="A920" s="18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26.25" customHeight="1">
      <c r="A921" s="18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26.25" customHeight="1">
      <c r="A922" s="18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26.25" customHeight="1">
      <c r="A923" s="18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26.25" customHeight="1">
      <c r="A924" s="18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26.25" customHeight="1">
      <c r="A925" s="18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26.25" customHeight="1">
      <c r="A926" s="18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26.25" customHeight="1">
      <c r="A927" s="18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26.25" customHeight="1">
      <c r="A928" s="18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26.25" customHeight="1">
      <c r="A929" s="18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26.25" customHeight="1">
      <c r="A930" s="18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26.25" customHeight="1">
      <c r="A931" s="18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26.25" customHeight="1">
      <c r="A932" s="18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26.25" customHeight="1">
      <c r="A933" s="18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26.25" customHeight="1">
      <c r="A934" s="18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26.25" customHeight="1">
      <c r="A935" s="18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26.25" customHeight="1">
      <c r="A936" s="18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26.25" customHeight="1">
      <c r="A937" s="18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26.25" customHeight="1">
      <c r="A938" s="18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26.25" customHeight="1">
      <c r="A939" s="18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26.25" customHeight="1">
      <c r="A940" s="18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26.25" customHeight="1">
      <c r="A941" s="18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26.25" customHeight="1">
      <c r="A942" s="18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26.25" customHeight="1">
      <c r="A943" s="18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26.25" customHeight="1">
      <c r="A944" s="18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26.25" customHeight="1">
      <c r="A945" s="18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26.25" customHeight="1">
      <c r="A946" s="18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26.25" customHeight="1">
      <c r="A947" s="18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26.25" customHeight="1">
      <c r="A948" s="18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26.25" customHeight="1">
      <c r="A949" s="18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26.25" customHeight="1">
      <c r="A950" s="18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26.25" customHeight="1">
      <c r="A951" s="18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26.25" customHeight="1">
      <c r="A952" s="18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26.25" customHeight="1">
      <c r="A953" s="18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26.25" customHeight="1">
      <c r="A954" s="18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26.25" customHeight="1">
      <c r="A955" s="18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26.25" customHeight="1">
      <c r="A956" s="18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26.25" customHeight="1">
      <c r="A957" s="18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26.25" customHeight="1">
      <c r="A958" s="18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26.25" customHeight="1">
      <c r="A959" s="18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26.25" customHeight="1">
      <c r="A960" s="18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26.25" customHeight="1">
      <c r="A961" s="18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26.25" customHeight="1">
      <c r="A962" s="18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26.25" customHeight="1">
      <c r="A963" s="18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26.25" customHeight="1">
      <c r="A964" s="18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26.25" customHeight="1">
      <c r="A965" s="18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26.25" customHeight="1">
      <c r="A966" s="18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26.25" customHeight="1">
      <c r="A967" s="18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26.25" customHeight="1">
      <c r="A968" s="18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26.25" customHeight="1">
      <c r="A969" s="18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26.25" customHeight="1">
      <c r="A970" s="18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26.25" customHeight="1">
      <c r="A971" s="18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26.25" customHeight="1">
      <c r="A972" s="18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26.25" customHeight="1">
      <c r="A973" s="18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26.25" customHeight="1">
      <c r="A974" s="18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26.25" customHeight="1">
      <c r="A975" s="18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26.25" customHeight="1">
      <c r="A976" s="18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26.25" customHeight="1">
      <c r="A977" s="18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26.25" customHeight="1">
      <c r="A978" s="18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26.25" customHeight="1">
      <c r="A979" s="18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26.25" customHeight="1">
      <c r="A980" s="18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26.25" customHeight="1">
      <c r="A981" s="18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26.25" customHeight="1">
      <c r="A982" s="18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26.25" customHeight="1">
      <c r="A983" s="18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26.25" customHeight="1">
      <c r="A984" s="18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26.25" customHeight="1">
      <c r="A985" s="18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26.25" customHeight="1">
      <c r="A986" s="18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26.25" customHeight="1">
      <c r="A987" s="18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26.25" customHeight="1">
      <c r="A988" s="18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26.25" customHeight="1">
      <c r="A989" s="18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26.25" customHeight="1">
      <c r="A990" s="18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26.25" customHeight="1">
      <c r="A991" s="18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26.25" customHeight="1">
      <c r="A992" s="18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26.25" customHeight="1">
      <c r="A993" s="18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26.25" customHeight="1">
      <c r="A994" s="18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26.25" customHeight="1">
      <c r="A995" s="18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26.25" customHeight="1">
      <c r="A996" s="18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26.25" customHeight="1">
      <c r="A997" s="18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26.25" customHeight="1">
      <c r="A998" s="18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26.25" customHeight="1">
      <c r="A999" s="18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26.25" customHeight="1">
      <c r="A1000" s="18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3">
    <mergeCell ref="A149:C149"/>
    <mergeCell ref="A238:F238"/>
    <mergeCell ref="A271:F271"/>
  </mergeCell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rightToLeft="1" zoomScaleNormal="100" workbookViewId="0"/>
  </sheetViews>
  <sheetFormatPr defaultColWidth="14.44140625" defaultRowHeight="14.4"/>
  <cols>
    <col min="1" max="1" width="34" customWidth="1"/>
    <col min="2" max="2" width="72.88671875" customWidth="1"/>
    <col min="3" max="3" width="32.109375" customWidth="1"/>
    <col min="4" max="6" width="9.109375" hidden="1" customWidth="1"/>
    <col min="7" max="26" width="8.6640625" customWidth="1"/>
  </cols>
  <sheetData>
    <row r="1" spans="1:26" ht="30.75" customHeight="1">
      <c r="A1" s="22" t="s">
        <v>1798</v>
      </c>
      <c r="B1" s="22" t="s">
        <v>1799</v>
      </c>
      <c r="C1" s="22" t="s">
        <v>1800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30.75" customHeight="1">
      <c r="A2" s="22" t="s">
        <v>1801</v>
      </c>
      <c r="B2" s="24" t="s">
        <v>1802</v>
      </c>
      <c r="C2" s="24">
        <v>0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30.75" customHeight="1">
      <c r="A3" s="22" t="s">
        <v>1803</v>
      </c>
      <c r="B3" s="24" t="s">
        <v>1804</v>
      </c>
      <c r="C3" s="24">
        <v>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0.75" customHeight="1">
      <c r="A4" s="22" t="s">
        <v>1805</v>
      </c>
      <c r="B4" s="24" t="s">
        <v>1806</v>
      </c>
      <c r="C4" s="24">
        <v>0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30.75" customHeight="1">
      <c r="A5" s="22" t="s">
        <v>1807</v>
      </c>
      <c r="B5" s="24" t="s">
        <v>1808</v>
      </c>
      <c r="C5" s="24">
        <v>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0.75" customHeight="1">
      <c r="A6" s="22" t="s">
        <v>1809</v>
      </c>
      <c r="B6" s="24" t="s">
        <v>1810</v>
      </c>
      <c r="C6" s="24">
        <v>0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30.75" customHeight="1">
      <c r="A7" s="22" t="s">
        <v>1811</v>
      </c>
      <c r="B7" s="24" t="s">
        <v>1812</v>
      </c>
      <c r="C7" s="24">
        <v>0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30.75" customHeight="1">
      <c r="A8" s="22" t="s">
        <v>1813</v>
      </c>
      <c r="B8" s="24" t="s">
        <v>1814</v>
      </c>
      <c r="C8" s="24">
        <v>0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30.75" customHeight="1">
      <c r="A9" s="22" t="s">
        <v>1815</v>
      </c>
      <c r="B9" s="24" t="s">
        <v>1816</v>
      </c>
      <c r="C9" s="24">
        <v>0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30.75" customHeight="1">
      <c r="A10" s="22" t="s">
        <v>1817</v>
      </c>
      <c r="B10" s="24" t="s">
        <v>1818</v>
      </c>
      <c r="C10" s="24">
        <v>0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30.75" customHeight="1">
      <c r="A11" s="22" t="s">
        <v>1819</v>
      </c>
      <c r="B11" s="24" t="s">
        <v>1820</v>
      </c>
      <c r="C11" s="24">
        <v>0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4.25" hidden="1" customHeight="1">
      <c r="A12" s="23"/>
      <c r="B12" s="25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4.25" customHeight="1">
      <c r="A13" s="2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4.25" customHeight="1">
      <c r="A14" s="23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4.25" customHeight="1">
      <c r="A15" s="23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4.25" customHeight="1">
      <c r="A16" s="23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4.25" customHeight="1">
      <c r="A17" s="23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4.25" customHeight="1">
      <c r="A18" s="23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4.25" customHeight="1">
      <c r="A19" s="23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4.25" customHeight="1">
      <c r="A20" s="23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4.25" customHeight="1">
      <c r="A21" s="23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4.25" customHeight="1">
      <c r="A22" s="23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4.25" customHeight="1">
      <c r="A23" s="23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4.25" customHeight="1">
      <c r="A24" s="23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4.25" customHeight="1">
      <c r="A25" s="23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4.25" customHeight="1">
      <c r="A26" s="23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4.25" customHeight="1">
      <c r="A27" s="23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4.25" customHeight="1">
      <c r="A28" s="23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4.25" customHeight="1">
      <c r="A29" s="23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4.25" customHeight="1">
      <c r="A30" s="2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4.25" customHeight="1">
      <c r="A31" s="23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.25" customHeight="1">
      <c r="A32" s="23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4.25" customHeight="1">
      <c r="A33" s="23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4.25" customHeight="1">
      <c r="A34" s="23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25" customHeight="1">
      <c r="A35" s="23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.25" customHeight="1">
      <c r="A36" s="23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25" customHeight="1">
      <c r="A37" s="23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.25" customHeight="1">
      <c r="A38" s="23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25" customHeight="1">
      <c r="A39" s="23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.25" customHeight="1">
      <c r="A40" s="23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.25" customHeight="1">
      <c r="A41" s="23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25" customHeight="1">
      <c r="A42" s="23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.25" customHeight="1">
      <c r="A43" s="23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25" customHeight="1">
      <c r="A44" s="23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25" customHeight="1">
      <c r="A45" s="23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.25" customHeight="1">
      <c r="A46" s="23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.25" customHeight="1">
      <c r="A47" s="23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.25" customHeight="1">
      <c r="A48" s="23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.25" customHeight="1">
      <c r="A49" s="23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.25" customHeight="1">
      <c r="A50" s="23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.25" customHeight="1">
      <c r="A51" s="23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.25" customHeight="1">
      <c r="A52" s="23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.25" customHeight="1">
      <c r="A53" s="23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.25" customHeight="1">
      <c r="A54" s="23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.25" customHeight="1">
      <c r="A55" s="23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4.25" customHeight="1">
      <c r="A56" s="2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4.25" customHeight="1">
      <c r="A57" s="23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4.25" customHeight="1">
      <c r="A58" s="23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4.25" customHeight="1">
      <c r="A59" s="23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4.25" customHeight="1">
      <c r="A60" s="23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4.25" customHeight="1">
      <c r="A61" s="23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4.25" customHeight="1">
      <c r="A62" s="23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4.25" customHeight="1">
      <c r="A63" s="23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4.25" customHeight="1">
      <c r="A64" s="23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4.25" customHeight="1">
      <c r="A65" s="23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4.25" customHeight="1">
      <c r="A66" s="23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4.25" customHeight="1">
      <c r="A67" s="23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4.25" customHeight="1">
      <c r="A68" s="23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4.25" customHeight="1">
      <c r="A69" s="23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4.25" customHeight="1">
      <c r="A70" s="23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4.25" customHeight="1">
      <c r="A71" s="23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4.25" customHeight="1">
      <c r="A72" s="23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4.25" customHeight="1">
      <c r="A73" s="23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4.25" customHeight="1">
      <c r="A74" s="23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4.25" customHeight="1">
      <c r="A75" s="23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4.25" customHeight="1">
      <c r="A76" s="23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4.25" customHeight="1">
      <c r="A77" s="23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4.25" customHeight="1">
      <c r="A78" s="23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4.25" customHeight="1">
      <c r="A79" s="23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4.25" customHeight="1">
      <c r="A80" s="23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4.25" customHeight="1">
      <c r="A81" s="23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4.25" customHeight="1">
      <c r="A82" s="2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4.25" customHeight="1">
      <c r="A83" s="23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4.25" customHeight="1">
      <c r="A84" s="23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4.25" customHeight="1">
      <c r="A85" s="23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4.25" customHeight="1">
      <c r="A86" s="23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4.25" customHeight="1">
      <c r="A87" s="23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4.25" customHeight="1">
      <c r="A88" s="23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4.25" customHeight="1">
      <c r="A89" s="23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4.25" customHeight="1">
      <c r="A90" s="23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4.25" customHeight="1">
      <c r="A91" s="23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4.25" customHeight="1">
      <c r="A92" s="23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4.25" customHeight="1">
      <c r="A93" s="23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4.25" customHeight="1">
      <c r="A94" s="23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4.25" customHeight="1">
      <c r="A95" s="23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4.25" customHeight="1">
      <c r="A96" s="23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4.25" customHeight="1">
      <c r="A97" s="23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4.25" customHeight="1">
      <c r="A98" s="23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4.25" customHeight="1">
      <c r="A99" s="23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4.25" customHeight="1">
      <c r="A100" s="23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4.25" customHeight="1">
      <c r="A101" s="23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4.25" customHeight="1">
      <c r="A102" s="23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4.25" customHeight="1">
      <c r="A103" s="23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4.25" customHeight="1">
      <c r="A104" s="23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4.25" customHeight="1">
      <c r="A105" s="23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4.25" customHeight="1">
      <c r="A106" s="23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4.25" customHeight="1">
      <c r="A107" s="23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4.25" customHeight="1">
      <c r="A108" s="2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4.25" customHeight="1">
      <c r="A109" s="23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4.25" customHeight="1">
      <c r="A110" s="23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4.25" customHeight="1">
      <c r="A111" s="23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4.25" customHeight="1">
      <c r="A112" s="23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4.25" customHeight="1">
      <c r="A113" s="23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4.25" customHeight="1">
      <c r="A114" s="23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4.25" customHeight="1">
      <c r="A115" s="23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4.25" customHeight="1">
      <c r="A116" s="23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4.25" customHeight="1">
      <c r="A117" s="23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4.25" customHeight="1">
      <c r="A118" s="23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4.25" customHeight="1">
      <c r="A119" s="23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4.25" customHeight="1">
      <c r="A120" s="23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4.25" customHeight="1">
      <c r="A121" s="23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4.25" customHeight="1">
      <c r="A122" s="23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4.25" customHeight="1">
      <c r="A123" s="23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4.25" customHeight="1">
      <c r="A124" s="23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4.25" customHeight="1">
      <c r="A125" s="23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4.25" customHeight="1">
      <c r="A126" s="23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4.25" customHeight="1">
      <c r="A127" s="23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4.25" customHeight="1">
      <c r="A128" s="23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4.25" customHeight="1">
      <c r="A129" s="23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4.25" customHeight="1">
      <c r="A130" s="23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4.25" customHeight="1">
      <c r="A131" s="23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4.25" customHeight="1">
      <c r="A132" s="23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4.25" customHeight="1">
      <c r="A133" s="23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4.25" customHeight="1">
      <c r="A134" s="2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4.25" customHeight="1">
      <c r="A135" s="23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4.25" customHeight="1">
      <c r="A136" s="23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4.25" customHeight="1">
      <c r="A137" s="23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4.25" customHeight="1">
      <c r="A138" s="23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4.25" customHeight="1">
      <c r="A139" s="23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4.25" customHeight="1">
      <c r="A140" s="23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4.25" customHeight="1">
      <c r="A141" s="23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4.25" customHeight="1">
      <c r="A142" s="23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4.25" customHeight="1">
      <c r="A143" s="23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4.25" customHeight="1">
      <c r="A144" s="23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4.25" customHeight="1">
      <c r="A145" s="23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4.25" customHeight="1">
      <c r="A146" s="23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4.25" customHeight="1">
      <c r="A147" s="23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4.25" customHeight="1">
      <c r="A148" s="23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4.25" customHeight="1">
      <c r="A149" s="23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4.25" customHeight="1">
      <c r="A150" s="23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4.25" customHeight="1">
      <c r="A151" s="23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4.25" customHeight="1">
      <c r="A152" s="23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4.25" customHeight="1">
      <c r="A153" s="23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4.25" customHeight="1">
      <c r="A154" s="23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4.25" customHeight="1">
      <c r="A155" s="23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4.25" customHeight="1">
      <c r="A156" s="23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4.25" customHeight="1">
      <c r="A157" s="23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4.25" customHeight="1">
      <c r="A158" s="23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4.25" customHeight="1">
      <c r="A159" s="23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4.25" customHeight="1">
      <c r="A160" s="2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4.25" customHeight="1">
      <c r="A161" s="23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4.25" customHeight="1">
      <c r="A162" s="23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4.25" customHeight="1">
      <c r="A163" s="23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4.25" customHeight="1">
      <c r="A164" s="23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4.25" customHeight="1">
      <c r="A165" s="23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4.25" customHeight="1">
      <c r="A166" s="23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4.25" customHeight="1">
      <c r="A167" s="23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4.25" customHeight="1">
      <c r="A168" s="23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4.25" customHeight="1">
      <c r="A169" s="23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4.25" customHeight="1">
      <c r="A170" s="23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4.25" customHeight="1">
      <c r="A171" s="23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4.25" customHeight="1">
      <c r="A172" s="23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4.25" customHeight="1">
      <c r="A173" s="23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4.25" customHeight="1">
      <c r="A174" s="23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4.25" customHeight="1">
      <c r="A175" s="23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4.25" customHeight="1">
      <c r="A176" s="23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4.25" customHeight="1">
      <c r="A177" s="23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4.25" customHeight="1">
      <c r="A178" s="23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4.25" customHeight="1">
      <c r="A179" s="23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4.25" customHeight="1">
      <c r="A180" s="23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4.25" customHeight="1">
      <c r="A181" s="23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4.25" customHeight="1">
      <c r="A182" s="23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4.25" customHeight="1">
      <c r="A183" s="23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4.25" customHeight="1">
      <c r="A184" s="23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4.25" customHeight="1">
      <c r="A185" s="23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4.25" customHeight="1">
      <c r="A186" s="2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4.25" customHeight="1">
      <c r="A187" s="23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4.25" customHeight="1">
      <c r="A188" s="23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4.25" customHeight="1">
      <c r="A189" s="23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4.25" customHeight="1">
      <c r="A190" s="23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4.25" customHeight="1">
      <c r="A191" s="23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4.25" customHeight="1">
      <c r="A192" s="23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4.25" customHeight="1">
      <c r="A193" s="23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4.25" customHeight="1">
      <c r="A194" s="23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4.25" customHeight="1">
      <c r="A195" s="23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4.25" customHeight="1">
      <c r="A196" s="23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4.25" customHeight="1">
      <c r="A197" s="23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4.25" customHeight="1">
      <c r="A198" s="23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4.25" customHeight="1">
      <c r="A199" s="23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4.25" customHeight="1">
      <c r="A200" s="23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4.25" customHeight="1">
      <c r="A201" s="23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4.25" customHeight="1">
      <c r="A202" s="23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4.25" customHeight="1">
      <c r="A203" s="23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4.25" customHeight="1">
      <c r="A204" s="23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4.25" customHeight="1">
      <c r="A205" s="23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4.25" customHeight="1">
      <c r="A206" s="23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4.25" customHeight="1">
      <c r="A207" s="23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4.25" customHeight="1">
      <c r="A208" s="23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4.25" customHeight="1">
      <c r="A209" s="23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4.25" customHeight="1">
      <c r="A210" s="23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4.25" customHeight="1">
      <c r="A211" s="23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4.25" customHeight="1">
      <c r="A212" s="2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4.25" customHeight="1">
      <c r="A213" s="23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4.25" customHeight="1">
      <c r="A214" s="23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4.25" customHeight="1">
      <c r="A215" s="23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4.25" customHeight="1">
      <c r="A216" s="23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4.25" customHeight="1">
      <c r="A217" s="23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4.25" customHeight="1">
      <c r="A218" s="23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4.25" customHeight="1">
      <c r="A219" s="23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4.25" customHeight="1">
      <c r="A220" s="23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4.25" customHeight="1">
      <c r="A221" s="23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4.25" customHeight="1">
      <c r="A222" s="23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4.25" customHeight="1">
      <c r="A223" s="23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4.25" customHeight="1">
      <c r="A224" s="23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4.25" customHeight="1">
      <c r="A225" s="23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4.25" customHeight="1">
      <c r="A226" s="23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4.25" customHeight="1">
      <c r="A227" s="23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4.25" customHeight="1">
      <c r="A228" s="23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4.25" customHeight="1">
      <c r="A229" s="23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4.25" customHeight="1">
      <c r="A230" s="23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4.25" customHeight="1">
      <c r="A231" s="23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4.25" customHeight="1">
      <c r="A232" s="23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4.25" customHeight="1">
      <c r="A233" s="23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4.25" customHeight="1">
      <c r="A234" s="23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4.25" customHeight="1">
      <c r="A235" s="23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4.25" customHeight="1">
      <c r="A236" s="23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4.25" customHeight="1">
      <c r="A237" s="23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4.25" customHeight="1">
      <c r="A238" s="2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4.25" customHeight="1">
      <c r="A239" s="23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4.25" customHeight="1">
      <c r="A240" s="23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4.25" customHeight="1">
      <c r="A241" s="23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4.25" customHeight="1">
      <c r="A242" s="23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4.25" customHeight="1">
      <c r="A243" s="23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4.25" customHeight="1">
      <c r="A244" s="23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4.25" customHeight="1">
      <c r="A245" s="23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4.25" customHeight="1">
      <c r="A246" s="23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4.25" customHeight="1">
      <c r="A247" s="23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4.25" customHeight="1">
      <c r="A248" s="23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4.25" customHeight="1">
      <c r="A249" s="23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4.25" customHeight="1">
      <c r="A250" s="23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4.25" customHeight="1">
      <c r="A251" s="23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4.25" customHeight="1">
      <c r="A252" s="23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4.25" customHeight="1">
      <c r="A253" s="23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4.25" customHeight="1">
      <c r="A254" s="23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4.25" customHeight="1">
      <c r="A255" s="23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4.25" customHeight="1">
      <c r="A256" s="23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4.25" customHeight="1">
      <c r="A257" s="23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4.25" customHeight="1">
      <c r="A258" s="23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4.25" customHeight="1">
      <c r="A259" s="23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4.25" customHeight="1">
      <c r="A260" s="23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4.25" customHeight="1">
      <c r="A261" s="23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4.25" customHeight="1">
      <c r="A262" s="23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4.25" customHeight="1">
      <c r="A263" s="23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4.25" customHeight="1">
      <c r="A264" s="2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4.25" customHeight="1">
      <c r="A265" s="23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4.25" customHeight="1">
      <c r="A266" s="23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4.25" customHeight="1">
      <c r="A267" s="23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4.25" customHeight="1">
      <c r="A268" s="23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4.25" customHeight="1">
      <c r="A269" s="23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4.25" customHeight="1">
      <c r="A270" s="23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4.25" customHeight="1">
      <c r="A271" s="23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4.25" customHeight="1">
      <c r="A272" s="23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4.25" customHeight="1">
      <c r="A273" s="23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4.25" customHeight="1">
      <c r="A274" s="23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4.25" customHeight="1">
      <c r="A275" s="23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4.25" customHeight="1">
      <c r="A276" s="23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4.25" customHeight="1">
      <c r="A277" s="23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4.25" customHeight="1">
      <c r="A278" s="23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4.25" customHeight="1">
      <c r="A279" s="23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4.25" customHeight="1">
      <c r="A280" s="23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4.25" customHeight="1">
      <c r="A281" s="23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4.25" customHeight="1">
      <c r="A282" s="23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4.25" customHeight="1">
      <c r="A283" s="23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4.25" customHeight="1">
      <c r="A284" s="23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4.25" customHeight="1">
      <c r="A285" s="23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4.25" customHeight="1">
      <c r="A286" s="23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4.25" customHeight="1">
      <c r="A287" s="23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4.25" customHeight="1">
      <c r="A288" s="23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4.25" customHeight="1">
      <c r="A289" s="23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4.25" customHeight="1">
      <c r="A290" s="2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4.25" customHeight="1">
      <c r="A291" s="23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4.25" customHeight="1">
      <c r="A292" s="23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4.25" customHeight="1">
      <c r="A293" s="23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4.25" customHeight="1">
      <c r="A294" s="23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4.25" customHeight="1">
      <c r="A295" s="23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4.25" customHeight="1">
      <c r="A296" s="23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4.25" customHeight="1">
      <c r="A297" s="23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4.25" customHeight="1">
      <c r="A298" s="23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4.25" customHeight="1">
      <c r="A299" s="23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4.25" customHeight="1">
      <c r="A300" s="23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4.25" customHeight="1">
      <c r="A301" s="23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4.25" customHeight="1">
      <c r="A302" s="23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4.25" customHeight="1">
      <c r="A303" s="23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4.25" customHeight="1">
      <c r="A304" s="23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4.25" customHeight="1">
      <c r="A305" s="23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4.25" customHeight="1">
      <c r="A306" s="23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4.25" customHeight="1">
      <c r="A307" s="23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4.25" customHeight="1">
      <c r="A308" s="23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4.25" customHeight="1">
      <c r="A309" s="23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4.25" customHeight="1">
      <c r="A310" s="23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4.25" customHeight="1">
      <c r="A311" s="23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4.25" customHeight="1">
      <c r="A312" s="23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4.25" customHeight="1">
      <c r="A313" s="23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4.25" customHeight="1">
      <c r="A314" s="23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4.25" customHeight="1">
      <c r="A315" s="23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4.25" customHeight="1">
      <c r="A316" s="2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4.25" customHeight="1">
      <c r="A317" s="23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4.25" customHeight="1">
      <c r="A318" s="23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4.25" customHeight="1">
      <c r="A319" s="23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4.25" customHeight="1">
      <c r="A320" s="23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4.25" customHeight="1">
      <c r="A321" s="23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4.25" customHeight="1">
      <c r="A322" s="23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4.25" customHeight="1">
      <c r="A323" s="23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4.25" customHeight="1">
      <c r="A324" s="23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4.25" customHeight="1">
      <c r="A325" s="23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4.25" customHeight="1">
      <c r="A326" s="23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4.25" customHeight="1">
      <c r="A327" s="23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4.25" customHeight="1">
      <c r="A328" s="23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4.25" customHeight="1">
      <c r="A329" s="23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4.25" customHeight="1">
      <c r="A330" s="23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4.25" customHeight="1">
      <c r="A331" s="23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4.25" customHeight="1">
      <c r="A332" s="23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4.25" customHeight="1">
      <c r="A333" s="23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4.25" customHeight="1">
      <c r="A334" s="23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4.25" customHeight="1">
      <c r="A335" s="23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4.25" customHeight="1">
      <c r="A336" s="23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4.25" customHeight="1">
      <c r="A337" s="23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4.25" customHeight="1">
      <c r="A338" s="23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4.25" customHeight="1">
      <c r="A339" s="23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4.25" customHeight="1">
      <c r="A340" s="23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4.25" customHeight="1">
      <c r="A341" s="23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4.25" customHeight="1">
      <c r="A342" s="23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4.25" customHeight="1">
      <c r="A343" s="23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4.25" customHeight="1">
      <c r="A344" s="23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4.25" customHeight="1">
      <c r="A345" s="23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4.25" customHeight="1">
      <c r="A346" s="23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4.25" customHeight="1">
      <c r="A347" s="23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4.25" customHeight="1">
      <c r="A348" s="23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4.25" customHeight="1">
      <c r="A349" s="23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4.25" customHeight="1">
      <c r="A350" s="23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4.25" customHeight="1">
      <c r="A351" s="23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4.25" customHeight="1">
      <c r="A352" s="23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4.25" customHeight="1">
      <c r="A353" s="23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4.25" customHeight="1">
      <c r="A354" s="23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4.25" customHeight="1">
      <c r="A355" s="23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4.25" customHeight="1">
      <c r="A356" s="23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4.25" customHeight="1">
      <c r="A357" s="23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4.25" customHeight="1">
      <c r="A358" s="23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4.25" customHeight="1">
      <c r="A359" s="23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4.25" customHeight="1">
      <c r="A360" s="23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4.25" customHeight="1">
      <c r="A361" s="23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4.25" customHeight="1">
      <c r="A362" s="23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4.25" customHeight="1">
      <c r="A363" s="23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4.25" customHeight="1">
      <c r="A364" s="23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4.25" customHeight="1">
      <c r="A365" s="23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4.25" customHeight="1">
      <c r="A366" s="23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4.25" customHeight="1">
      <c r="A367" s="23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4.25" customHeight="1">
      <c r="A368" s="23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4.25" customHeight="1">
      <c r="A369" s="23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4.25" customHeight="1">
      <c r="A370" s="23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4.25" customHeight="1">
      <c r="A371" s="23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4.25" customHeight="1">
      <c r="A372" s="23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4.25" customHeight="1">
      <c r="A373" s="23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4.25" customHeight="1">
      <c r="A374" s="23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4.25" customHeight="1">
      <c r="A375" s="23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4.25" customHeight="1">
      <c r="A376" s="23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4.25" customHeight="1">
      <c r="A377" s="23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4.25" customHeight="1">
      <c r="A378" s="23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4.25" customHeight="1">
      <c r="A379" s="23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4.25" customHeight="1">
      <c r="A380" s="23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4.25" customHeight="1">
      <c r="A381" s="23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4.25" customHeight="1">
      <c r="A382" s="23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4.25" customHeight="1">
      <c r="A383" s="23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4.25" customHeight="1">
      <c r="A384" s="23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4.25" customHeight="1">
      <c r="A385" s="23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4.25" customHeight="1">
      <c r="A386" s="23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4.25" customHeight="1">
      <c r="A387" s="23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4.25" customHeight="1">
      <c r="A388" s="23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4.25" customHeight="1">
      <c r="A389" s="23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4.25" customHeight="1">
      <c r="A390" s="23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4.25" customHeight="1">
      <c r="A391" s="23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4.25" customHeight="1">
      <c r="A392" s="23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4.25" customHeight="1">
      <c r="A393" s="23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4.25" customHeight="1">
      <c r="A394" s="23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4.25" customHeight="1">
      <c r="A395" s="23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4.25" customHeight="1">
      <c r="A396" s="23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4.25" customHeight="1">
      <c r="A397" s="23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4.25" customHeight="1">
      <c r="A398" s="23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4.25" customHeight="1">
      <c r="A399" s="23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4.25" customHeight="1">
      <c r="A400" s="23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4.25" customHeight="1">
      <c r="A401" s="23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4.25" customHeight="1">
      <c r="A402" s="23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4.25" customHeight="1">
      <c r="A403" s="23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4.25" customHeight="1">
      <c r="A404" s="23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4.25" customHeight="1">
      <c r="A405" s="23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4.25" customHeight="1">
      <c r="A406" s="23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4.25" customHeight="1">
      <c r="A407" s="23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4.25" customHeight="1">
      <c r="A408" s="23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4.25" customHeight="1">
      <c r="A409" s="23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4.25" customHeight="1">
      <c r="A410" s="23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4.25" customHeight="1">
      <c r="A411" s="23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4.25" customHeight="1">
      <c r="A412" s="23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4.25" customHeight="1">
      <c r="A413" s="23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4.25" customHeight="1">
      <c r="A414" s="23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4.25" customHeight="1">
      <c r="A415" s="23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4.25" customHeight="1">
      <c r="A416" s="23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4.25" customHeight="1">
      <c r="A417" s="23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4.25" customHeight="1">
      <c r="A418" s="23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4.25" customHeight="1">
      <c r="A419" s="23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4.25" customHeight="1">
      <c r="A420" s="23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4.25" customHeight="1">
      <c r="A421" s="23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4.25" customHeight="1">
      <c r="A422" s="23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4.25" customHeight="1">
      <c r="A423" s="23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4.25" customHeight="1">
      <c r="A424" s="23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4.25" customHeight="1">
      <c r="A425" s="23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4.25" customHeight="1">
      <c r="A426" s="23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4.25" customHeight="1">
      <c r="A427" s="23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4.25" customHeight="1">
      <c r="A428" s="23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4.25" customHeight="1">
      <c r="A429" s="23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4.25" customHeight="1">
      <c r="A430" s="23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4.25" customHeight="1">
      <c r="A431" s="23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4.25" customHeight="1">
      <c r="A432" s="23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4.25" customHeight="1">
      <c r="A433" s="23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4.25" customHeight="1">
      <c r="A434" s="23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4.25" customHeight="1">
      <c r="A435" s="23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4.25" customHeight="1">
      <c r="A436" s="23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4.25" customHeight="1">
      <c r="A437" s="23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4.25" customHeight="1">
      <c r="A438" s="23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4.25" customHeight="1">
      <c r="A439" s="23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4.25" customHeight="1">
      <c r="A440" s="23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4.25" customHeight="1">
      <c r="A441" s="23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4.25" customHeight="1">
      <c r="A442" s="23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4.25" customHeight="1">
      <c r="A443" s="23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4.25" customHeight="1">
      <c r="A444" s="23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4.25" customHeight="1">
      <c r="A445" s="23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4.25" customHeight="1">
      <c r="A446" s="23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4.25" customHeight="1">
      <c r="A447" s="23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4.25" customHeight="1">
      <c r="A448" s="23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4.25" customHeight="1">
      <c r="A449" s="23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4.25" customHeight="1">
      <c r="A450" s="23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4.25" customHeight="1">
      <c r="A451" s="23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4.25" customHeight="1">
      <c r="A452" s="23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4.25" customHeight="1">
      <c r="A453" s="23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4.25" customHeight="1">
      <c r="A454" s="23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4.25" customHeight="1">
      <c r="A455" s="23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4.25" customHeight="1">
      <c r="A456" s="23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4.25" customHeight="1">
      <c r="A457" s="23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4.25" customHeight="1">
      <c r="A458" s="23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4.25" customHeight="1">
      <c r="A459" s="23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4.25" customHeight="1">
      <c r="A460" s="23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4.25" customHeight="1">
      <c r="A461" s="23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4.25" customHeight="1">
      <c r="A462" s="23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4.25" customHeight="1">
      <c r="A463" s="23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4.25" customHeight="1">
      <c r="A464" s="23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4.25" customHeight="1">
      <c r="A465" s="23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4.25" customHeight="1">
      <c r="A466" s="23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4.25" customHeight="1">
      <c r="A467" s="23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4.25" customHeight="1">
      <c r="A468" s="23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4.25" customHeight="1">
      <c r="A469" s="23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4.25" customHeight="1">
      <c r="A470" s="23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4.25" customHeight="1">
      <c r="A471" s="23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4.25" customHeight="1">
      <c r="A472" s="23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4.25" customHeight="1">
      <c r="A473" s="23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4.25" customHeight="1">
      <c r="A474" s="23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4.25" customHeight="1">
      <c r="A475" s="23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4.25" customHeight="1">
      <c r="A476" s="23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4.25" customHeight="1">
      <c r="A477" s="23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4.25" customHeight="1">
      <c r="A478" s="23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4.25" customHeight="1">
      <c r="A479" s="23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4.25" customHeight="1">
      <c r="A480" s="23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4.25" customHeight="1">
      <c r="A481" s="23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4.25" customHeight="1">
      <c r="A482" s="23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4.25" customHeight="1">
      <c r="A483" s="23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4.25" customHeight="1">
      <c r="A484" s="23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4.25" customHeight="1">
      <c r="A485" s="23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4.25" customHeight="1">
      <c r="A486" s="23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4.25" customHeight="1">
      <c r="A487" s="23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4.25" customHeight="1">
      <c r="A488" s="23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4.25" customHeight="1">
      <c r="A489" s="23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4.25" customHeight="1">
      <c r="A490" s="23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4.25" customHeight="1">
      <c r="A491" s="23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4.25" customHeight="1">
      <c r="A492" s="23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4.25" customHeight="1">
      <c r="A493" s="23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4.25" customHeight="1">
      <c r="A494" s="23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4.25" customHeight="1">
      <c r="A495" s="23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4.25" customHeight="1">
      <c r="A496" s="23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4.25" customHeight="1">
      <c r="A497" s="23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4.25" customHeight="1">
      <c r="A498" s="23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4.25" customHeight="1">
      <c r="A499" s="23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4.25" customHeight="1">
      <c r="A500" s="23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4.25" customHeight="1">
      <c r="A501" s="23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4.25" customHeight="1">
      <c r="A502" s="23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4.25" customHeight="1">
      <c r="A503" s="23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4.25" customHeight="1">
      <c r="A504" s="23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4.25" customHeight="1">
      <c r="A505" s="23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4.25" customHeight="1">
      <c r="A506" s="23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4.25" customHeight="1">
      <c r="A507" s="23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4.25" customHeight="1">
      <c r="A508" s="23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4.25" customHeight="1">
      <c r="A509" s="23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4.25" customHeight="1">
      <c r="A510" s="23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4.25" customHeight="1">
      <c r="A511" s="23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4.25" customHeight="1">
      <c r="A512" s="23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4.25" customHeight="1">
      <c r="A513" s="23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4.25" customHeight="1">
      <c r="A514" s="23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4.25" customHeight="1">
      <c r="A515" s="23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4.25" customHeight="1">
      <c r="A516" s="23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4.25" customHeight="1">
      <c r="A517" s="23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4.25" customHeight="1">
      <c r="A518" s="23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4.25" customHeight="1">
      <c r="A519" s="23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4.25" customHeight="1">
      <c r="A520" s="23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4.25" customHeight="1">
      <c r="A521" s="23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4.25" customHeight="1">
      <c r="A522" s="23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4.25" customHeight="1">
      <c r="A523" s="23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4.25" customHeight="1">
      <c r="A524" s="23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4.25" customHeight="1">
      <c r="A525" s="23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4.25" customHeight="1">
      <c r="A526" s="23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4.25" customHeight="1">
      <c r="A527" s="23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4.25" customHeight="1">
      <c r="A528" s="23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4.25" customHeight="1">
      <c r="A529" s="23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4.25" customHeight="1">
      <c r="A530" s="23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4.25" customHeight="1">
      <c r="A531" s="23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4.25" customHeight="1">
      <c r="A532" s="23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4.25" customHeight="1">
      <c r="A533" s="23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4.25" customHeight="1">
      <c r="A534" s="23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4.25" customHeight="1">
      <c r="A535" s="23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4.25" customHeight="1">
      <c r="A536" s="23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4.25" customHeight="1">
      <c r="A537" s="23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4.25" customHeight="1">
      <c r="A538" s="23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4.25" customHeight="1">
      <c r="A539" s="23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4.25" customHeight="1">
      <c r="A540" s="23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4.25" customHeight="1">
      <c r="A541" s="23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4.25" customHeight="1">
      <c r="A542" s="23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4.25" customHeight="1">
      <c r="A543" s="23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4.25" customHeight="1">
      <c r="A544" s="23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4.25" customHeight="1">
      <c r="A545" s="23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4.25" customHeight="1">
      <c r="A546" s="23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4.25" customHeight="1">
      <c r="A547" s="23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4.25" customHeight="1">
      <c r="A548" s="23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4.25" customHeight="1">
      <c r="A549" s="23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4.25" customHeight="1">
      <c r="A550" s="23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4.25" customHeight="1">
      <c r="A551" s="23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4.25" customHeight="1">
      <c r="A552" s="23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4.25" customHeight="1">
      <c r="A553" s="23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4.25" customHeight="1">
      <c r="A554" s="23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4.25" customHeight="1">
      <c r="A555" s="23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4.25" customHeight="1">
      <c r="A556" s="23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4.25" customHeight="1">
      <c r="A557" s="23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4.25" customHeight="1">
      <c r="A558" s="23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4.25" customHeight="1">
      <c r="A559" s="23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4.25" customHeight="1">
      <c r="A560" s="23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4.25" customHeight="1">
      <c r="A561" s="23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4.25" customHeight="1">
      <c r="A562" s="23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4.25" customHeight="1">
      <c r="A563" s="23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4.25" customHeight="1">
      <c r="A564" s="23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4.25" customHeight="1">
      <c r="A565" s="23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4.25" customHeight="1">
      <c r="A566" s="23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4.25" customHeight="1">
      <c r="A567" s="23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4.25" customHeight="1">
      <c r="A568" s="23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4.25" customHeight="1">
      <c r="A569" s="23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4.25" customHeight="1">
      <c r="A570" s="23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4.25" customHeight="1">
      <c r="A571" s="23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4.25" customHeight="1">
      <c r="A572" s="23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4.25" customHeight="1">
      <c r="A573" s="23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4.25" customHeight="1">
      <c r="A574" s="23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4.25" customHeight="1">
      <c r="A575" s="23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4.25" customHeight="1">
      <c r="A576" s="23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4.25" customHeight="1">
      <c r="A577" s="23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4.25" customHeight="1">
      <c r="A578" s="23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4.25" customHeight="1">
      <c r="A579" s="23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4.25" customHeight="1">
      <c r="A580" s="23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4.25" customHeight="1">
      <c r="A581" s="23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4.25" customHeight="1">
      <c r="A582" s="23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4.25" customHeight="1">
      <c r="A583" s="23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4.25" customHeight="1">
      <c r="A584" s="23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4.25" customHeight="1">
      <c r="A585" s="23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4.25" customHeight="1">
      <c r="A586" s="23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4.25" customHeight="1">
      <c r="A587" s="23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4.25" customHeight="1">
      <c r="A588" s="23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4.25" customHeight="1">
      <c r="A589" s="23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4.25" customHeight="1">
      <c r="A590" s="23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4.25" customHeight="1">
      <c r="A591" s="23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4.25" customHeight="1">
      <c r="A592" s="23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4.25" customHeight="1">
      <c r="A593" s="23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4.25" customHeight="1">
      <c r="A594" s="23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4.25" customHeight="1">
      <c r="A595" s="23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4.25" customHeight="1">
      <c r="A596" s="23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4.25" customHeight="1">
      <c r="A597" s="23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4.25" customHeight="1">
      <c r="A598" s="23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4.25" customHeight="1">
      <c r="A599" s="23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4.25" customHeight="1">
      <c r="A600" s="23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4.25" customHeight="1">
      <c r="A601" s="23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4.25" customHeight="1">
      <c r="A602" s="23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4.25" customHeight="1">
      <c r="A603" s="23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4.25" customHeight="1">
      <c r="A604" s="23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4.25" customHeight="1">
      <c r="A605" s="23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4.25" customHeight="1">
      <c r="A606" s="23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4.25" customHeight="1">
      <c r="A607" s="23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4.25" customHeight="1">
      <c r="A608" s="23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4.25" customHeight="1">
      <c r="A609" s="23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4.25" customHeight="1">
      <c r="A610" s="23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4.25" customHeight="1">
      <c r="A611" s="23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4.25" customHeight="1">
      <c r="A612" s="23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4.25" customHeight="1">
      <c r="A613" s="23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4.25" customHeight="1">
      <c r="A614" s="23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4.25" customHeight="1">
      <c r="A615" s="23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4.25" customHeight="1">
      <c r="A616" s="23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4.25" customHeight="1">
      <c r="A617" s="23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4.25" customHeight="1">
      <c r="A618" s="23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4.25" customHeight="1">
      <c r="A619" s="23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4.25" customHeight="1">
      <c r="A620" s="23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4.25" customHeight="1">
      <c r="A621" s="23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4.25" customHeight="1">
      <c r="A622" s="23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4.25" customHeight="1">
      <c r="A623" s="23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4.25" customHeight="1">
      <c r="A624" s="23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4.25" customHeight="1">
      <c r="A625" s="23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4.25" customHeight="1">
      <c r="A626" s="23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4.25" customHeight="1">
      <c r="A627" s="23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4.25" customHeight="1">
      <c r="A628" s="23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4.25" customHeight="1">
      <c r="A629" s="23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4.25" customHeight="1">
      <c r="A630" s="23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4.25" customHeight="1">
      <c r="A631" s="23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4.25" customHeight="1">
      <c r="A632" s="23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4.25" customHeight="1">
      <c r="A633" s="23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4.25" customHeight="1">
      <c r="A634" s="23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4.25" customHeight="1">
      <c r="A635" s="23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4.25" customHeight="1">
      <c r="A636" s="23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4.25" customHeight="1">
      <c r="A637" s="23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4.25" customHeight="1">
      <c r="A638" s="23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4.25" customHeight="1">
      <c r="A639" s="23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4.25" customHeight="1">
      <c r="A640" s="23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4.25" customHeight="1">
      <c r="A641" s="23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4.25" customHeight="1">
      <c r="A642" s="23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4.25" customHeight="1">
      <c r="A643" s="23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4.25" customHeight="1">
      <c r="A644" s="23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4.25" customHeight="1">
      <c r="A645" s="23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4.25" customHeight="1">
      <c r="A646" s="23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4.25" customHeight="1">
      <c r="A647" s="23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4.25" customHeight="1">
      <c r="A648" s="23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4.25" customHeight="1">
      <c r="A649" s="23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4.25" customHeight="1">
      <c r="A650" s="23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4.25" customHeight="1">
      <c r="A651" s="23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4.25" customHeight="1">
      <c r="A652" s="23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4.25" customHeight="1">
      <c r="A653" s="23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4.25" customHeight="1">
      <c r="A654" s="23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4.25" customHeight="1">
      <c r="A655" s="23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4.25" customHeight="1">
      <c r="A656" s="23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4.25" customHeight="1">
      <c r="A657" s="23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4.25" customHeight="1">
      <c r="A658" s="23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4.25" customHeight="1">
      <c r="A659" s="23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4.25" customHeight="1">
      <c r="A660" s="23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4.25" customHeight="1">
      <c r="A661" s="23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4.25" customHeight="1">
      <c r="A662" s="23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4.25" customHeight="1">
      <c r="A663" s="23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4.25" customHeight="1">
      <c r="A664" s="23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4.25" customHeight="1">
      <c r="A665" s="23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4.25" customHeight="1">
      <c r="A666" s="23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4.25" customHeight="1">
      <c r="A667" s="23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4.25" customHeight="1">
      <c r="A668" s="23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4.25" customHeight="1">
      <c r="A669" s="23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4.25" customHeight="1">
      <c r="A670" s="23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4.25" customHeight="1">
      <c r="A671" s="23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4.25" customHeight="1">
      <c r="A672" s="23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4.25" customHeight="1">
      <c r="A673" s="23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4.25" customHeight="1">
      <c r="A674" s="23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4.25" customHeight="1">
      <c r="A675" s="23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4.25" customHeight="1">
      <c r="A676" s="23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4.25" customHeight="1">
      <c r="A677" s="23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4.25" customHeight="1">
      <c r="A678" s="23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4.25" customHeight="1">
      <c r="A679" s="23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4.25" customHeight="1">
      <c r="A680" s="23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4.25" customHeight="1">
      <c r="A681" s="23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4.25" customHeight="1">
      <c r="A682" s="23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4.25" customHeight="1">
      <c r="A683" s="23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4.25" customHeight="1">
      <c r="A684" s="23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4.25" customHeight="1">
      <c r="A685" s="23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4.25" customHeight="1">
      <c r="A686" s="23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4.25" customHeight="1">
      <c r="A687" s="23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4.25" customHeight="1">
      <c r="A688" s="23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4.25" customHeight="1">
      <c r="A689" s="23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4.25" customHeight="1">
      <c r="A690" s="23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4.25" customHeight="1">
      <c r="A691" s="23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4.25" customHeight="1">
      <c r="A692" s="23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4.25" customHeight="1">
      <c r="A693" s="23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4.25" customHeight="1">
      <c r="A694" s="23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4.25" customHeight="1">
      <c r="A695" s="23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4.25" customHeight="1">
      <c r="A696" s="23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4.25" customHeight="1">
      <c r="A697" s="23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4.25" customHeight="1">
      <c r="A698" s="23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4.25" customHeight="1">
      <c r="A699" s="23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4.25" customHeight="1">
      <c r="A700" s="23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4.25" customHeight="1">
      <c r="A701" s="23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4.25" customHeight="1">
      <c r="A702" s="23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4.25" customHeight="1">
      <c r="A703" s="23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4.25" customHeight="1">
      <c r="A704" s="23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4.25" customHeight="1">
      <c r="A705" s="23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4.25" customHeight="1">
      <c r="A706" s="23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4.25" customHeight="1">
      <c r="A707" s="23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4.25" customHeight="1">
      <c r="A708" s="23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4.25" customHeight="1">
      <c r="A709" s="23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4.25" customHeight="1">
      <c r="A710" s="23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4.25" customHeight="1">
      <c r="A711" s="23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4.25" customHeight="1">
      <c r="A712" s="23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4.25" customHeight="1">
      <c r="A713" s="23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4.25" customHeight="1">
      <c r="A714" s="23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4.25" customHeight="1">
      <c r="A715" s="23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4.25" customHeight="1">
      <c r="A716" s="23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4.25" customHeight="1">
      <c r="A717" s="23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4.25" customHeight="1">
      <c r="A718" s="23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4.25" customHeight="1">
      <c r="A719" s="23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4.25" customHeight="1">
      <c r="A720" s="23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4.25" customHeight="1">
      <c r="A721" s="23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4.25" customHeight="1">
      <c r="A722" s="23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4.25" customHeight="1">
      <c r="A723" s="23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4.25" customHeight="1">
      <c r="A724" s="23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4.25" customHeight="1">
      <c r="A725" s="23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4.25" customHeight="1">
      <c r="A726" s="23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4.25" customHeight="1">
      <c r="A727" s="23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4.25" customHeight="1">
      <c r="A728" s="23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4.25" customHeight="1">
      <c r="A729" s="23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4.25" customHeight="1">
      <c r="A730" s="23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4.25" customHeight="1">
      <c r="A731" s="23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4.25" customHeight="1">
      <c r="A732" s="23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4.25" customHeight="1">
      <c r="A733" s="23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4.25" customHeight="1">
      <c r="A734" s="23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4.25" customHeight="1">
      <c r="A735" s="23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4.25" customHeight="1">
      <c r="A736" s="23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4.25" customHeight="1">
      <c r="A737" s="23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4.25" customHeight="1">
      <c r="A738" s="23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4.25" customHeight="1">
      <c r="A739" s="23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4.25" customHeight="1">
      <c r="A740" s="23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4.25" customHeight="1">
      <c r="A741" s="23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4.25" customHeight="1">
      <c r="A742" s="23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4.25" customHeight="1">
      <c r="A743" s="23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4.25" customHeight="1">
      <c r="A744" s="23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4.25" customHeight="1">
      <c r="A745" s="23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4.25" customHeight="1">
      <c r="A746" s="23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4.25" customHeight="1">
      <c r="A747" s="23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4.25" customHeight="1">
      <c r="A748" s="23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4.25" customHeight="1">
      <c r="A749" s="23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4.25" customHeight="1">
      <c r="A750" s="23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4.25" customHeight="1">
      <c r="A751" s="23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4.25" customHeight="1">
      <c r="A752" s="23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4.25" customHeight="1">
      <c r="A753" s="23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4.25" customHeight="1">
      <c r="A754" s="23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4.25" customHeight="1">
      <c r="A755" s="23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4.25" customHeight="1">
      <c r="A756" s="23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4.25" customHeight="1">
      <c r="A757" s="23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4.25" customHeight="1">
      <c r="A758" s="23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4.25" customHeight="1">
      <c r="A759" s="23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4.25" customHeight="1">
      <c r="A760" s="23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4.25" customHeight="1">
      <c r="A761" s="23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4.25" customHeight="1">
      <c r="A762" s="23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4.25" customHeight="1">
      <c r="A763" s="23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4.25" customHeight="1">
      <c r="A764" s="23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4.25" customHeight="1">
      <c r="A765" s="23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4.25" customHeight="1">
      <c r="A766" s="23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4.25" customHeight="1">
      <c r="A767" s="23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4.25" customHeight="1">
      <c r="A768" s="23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4.25" customHeight="1">
      <c r="A769" s="23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4.25" customHeight="1">
      <c r="A770" s="23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4.25" customHeight="1">
      <c r="A771" s="23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4.25" customHeight="1">
      <c r="A772" s="23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4.25" customHeight="1">
      <c r="A773" s="23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4.25" customHeight="1">
      <c r="A774" s="23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4.25" customHeight="1">
      <c r="A775" s="23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4.25" customHeight="1">
      <c r="A776" s="23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4.25" customHeight="1">
      <c r="A777" s="23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4.25" customHeight="1">
      <c r="A778" s="23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4.25" customHeight="1">
      <c r="A779" s="23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4.25" customHeight="1">
      <c r="A780" s="23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4.25" customHeight="1">
      <c r="A781" s="23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4.25" customHeight="1">
      <c r="A782" s="23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4.25" customHeight="1">
      <c r="A783" s="23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4.25" customHeight="1">
      <c r="A784" s="23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4.25" customHeight="1">
      <c r="A785" s="23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4.25" customHeight="1">
      <c r="A786" s="23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4.25" customHeight="1">
      <c r="A787" s="23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4.25" customHeight="1">
      <c r="A788" s="23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4.25" customHeight="1">
      <c r="A789" s="23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4.25" customHeight="1">
      <c r="A790" s="23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4.25" customHeight="1">
      <c r="A791" s="23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4.25" customHeight="1">
      <c r="A792" s="23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4.25" customHeight="1">
      <c r="A793" s="23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4.25" customHeight="1">
      <c r="A794" s="23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4.25" customHeight="1">
      <c r="A795" s="23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4.25" customHeight="1">
      <c r="A796" s="23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4.25" customHeight="1">
      <c r="A797" s="23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4.25" customHeight="1">
      <c r="A798" s="23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4.25" customHeight="1">
      <c r="A799" s="23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4.25" customHeight="1">
      <c r="A800" s="23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4.25" customHeight="1">
      <c r="A801" s="23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4.25" customHeight="1">
      <c r="A802" s="23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4.25" customHeight="1">
      <c r="A803" s="23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4.25" customHeight="1">
      <c r="A804" s="23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4.25" customHeight="1">
      <c r="A805" s="23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4.25" customHeight="1">
      <c r="A806" s="23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4.25" customHeight="1">
      <c r="A807" s="23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4.25" customHeight="1">
      <c r="A808" s="23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4.25" customHeight="1">
      <c r="A809" s="23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4.25" customHeight="1">
      <c r="A810" s="23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4.25" customHeight="1">
      <c r="A811" s="23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4.25" customHeight="1">
      <c r="A812" s="23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4.25" customHeight="1">
      <c r="A813" s="23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4.25" customHeight="1">
      <c r="A814" s="23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4.25" customHeight="1">
      <c r="A815" s="23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4.25" customHeight="1">
      <c r="A816" s="23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4.25" customHeight="1">
      <c r="A817" s="23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4.25" customHeight="1">
      <c r="A818" s="23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4.25" customHeight="1">
      <c r="A819" s="23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4.25" customHeight="1">
      <c r="A820" s="23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4.25" customHeight="1">
      <c r="A821" s="23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4.25" customHeight="1">
      <c r="A822" s="23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4.25" customHeight="1">
      <c r="A823" s="23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4.25" customHeight="1">
      <c r="A824" s="23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4.25" customHeight="1">
      <c r="A825" s="23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4.25" customHeight="1">
      <c r="A826" s="23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4.25" customHeight="1">
      <c r="A827" s="23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4.25" customHeight="1">
      <c r="A828" s="23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4.25" customHeight="1">
      <c r="A829" s="23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4.25" customHeight="1">
      <c r="A830" s="23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4.25" customHeight="1">
      <c r="A831" s="23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4.25" customHeight="1">
      <c r="A832" s="23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4.25" customHeight="1">
      <c r="A833" s="23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4.25" customHeight="1">
      <c r="A834" s="23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4.25" customHeight="1">
      <c r="A835" s="23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4.25" customHeight="1">
      <c r="A836" s="23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4.25" customHeight="1">
      <c r="A837" s="23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4.25" customHeight="1">
      <c r="A838" s="23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4.25" customHeight="1">
      <c r="A839" s="23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4.25" customHeight="1">
      <c r="A840" s="23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4.25" customHeight="1">
      <c r="A841" s="23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4.25" customHeight="1">
      <c r="A842" s="23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4.25" customHeight="1">
      <c r="A843" s="23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4.25" customHeight="1">
      <c r="A844" s="23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4.25" customHeight="1">
      <c r="A845" s="23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4.25" customHeight="1">
      <c r="A846" s="23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4.25" customHeight="1">
      <c r="A847" s="23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4.25" customHeight="1">
      <c r="A848" s="23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4.25" customHeight="1">
      <c r="A849" s="23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4.25" customHeight="1">
      <c r="A850" s="23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4.25" customHeight="1">
      <c r="A851" s="23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4.25" customHeight="1">
      <c r="A852" s="23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4.25" customHeight="1">
      <c r="A853" s="23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4.25" customHeight="1">
      <c r="A854" s="23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4.25" customHeight="1">
      <c r="A855" s="23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4.25" customHeight="1">
      <c r="A856" s="23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4.25" customHeight="1">
      <c r="A857" s="23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4.25" customHeight="1">
      <c r="A858" s="23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4.25" customHeight="1">
      <c r="A859" s="23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4.25" customHeight="1">
      <c r="A860" s="23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4.25" customHeight="1">
      <c r="A861" s="23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4.25" customHeight="1">
      <c r="A862" s="23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4.25" customHeight="1">
      <c r="A863" s="23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4.25" customHeight="1">
      <c r="A864" s="23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4.25" customHeight="1">
      <c r="A865" s="23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4.25" customHeight="1">
      <c r="A866" s="23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4.25" customHeight="1">
      <c r="A867" s="23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4.25" customHeight="1">
      <c r="A868" s="23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4.25" customHeight="1">
      <c r="A869" s="23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4.25" customHeight="1">
      <c r="A870" s="23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4.25" customHeight="1">
      <c r="A871" s="23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4.25" customHeight="1">
      <c r="A872" s="23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4.25" customHeight="1">
      <c r="A873" s="23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4.25" customHeight="1">
      <c r="A874" s="23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4.25" customHeight="1">
      <c r="A875" s="23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4.25" customHeight="1">
      <c r="A876" s="23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4.25" customHeight="1">
      <c r="A877" s="23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4.25" customHeight="1">
      <c r="A878" s="23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4.25" customHeight="1">
      <c r="A879" s="23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4.25" customHeight="1">
      <c r="A880" s="23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4.25" customHeight="1">
      <c r="A881" s="23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4.25" customHeight="1">
      <c r="A882" s="23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4.25" customHeight="1">
      <c r="A883" s="23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4.25" customHeight="1">
      <c r="A884" s="23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4.25" customHeight="1">
      <c r="A885" s="23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4.25" customHeight="1">
      <c r="A886" s="23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4.25" customHeight="1">
      <c r="A887" s="23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4.25" customHeight="1">
      <c r="A888" s="23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4.25" customHeight="1">
      <c r="A889" s="23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4.25" customHeight="1">
      <c r="A890" s="23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4.25" customHeight="1">
      <c r="A891" s="23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4.25" customHeight="1">
      <c r="A892" s="23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4.25" customHeight="1">
      <c r="A893" s="23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4.25" customHeight="1">
      <c r="A894" s="23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4.25" customHeight="1">
      <c r="A895" s="23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4.25" customHeight="1">
      <c r="A896" s="23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4.25" customHeight="1">
      <c r="A897" s="23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4.25" customHeight="1">
      <c r="A898" s="23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4.25" customHeight="1">
      <c r="A899" s="23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4.25" customHeight="1">
      <c r="A900" s="23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4.25" customHeight="1">
      <c r="A901" s="23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4.25" customHeight="1">
      <c r="A902" s="23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4.25" customHeight="1">
      <c r="A903" s="23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4.25" customHeight="1">
      <c r="A904" s="23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4.25" customHeight="1">
      <c r="A905" s="23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4.25" customHeight="1">
      <c r="A906" s="23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4.25" customHeight="1">
      <c r="A907" s="23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4.25" customHeight="1">
      <c r="A908" s="23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4.25" customHeight="1">
      <c r="A909" s="23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4.25" customHeight="1">
      <c r="A910" s="23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4.25" customHeight="1">
      <c r="A911" s="23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4.25" customHeight="1">
      <c r="A912" s="23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4.25" customHeight="1">
      <c r="A913" s="23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4.25" customHeight="1">
      <c r="A914" s="23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4.25" customHeight="1">
      <c r="A915" s="23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4.25" customHeight="1">
      <c r="A916" s="23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4.25" customHeight="1">
      <c r="A917" s="23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4.25" customHeight="1">
      <c r="A918" s="23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4.25" customHeight="1">
      <c r="A919" s="23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4.25" customHeight="1">
      <c r="A920" s="23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4.25" customHeight="1">
      <c r="A921" s="23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4.25" customHeight="1">
      <c r="A922" s="23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4.25" customHeight="1">
      <c r="A923" s="23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4.25" customHeight="1">
      <c r="A924" s="23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4.25" customHeight="1">
      <c r="A925" s="23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4.25" customHeight="1">
      <c r="A926" s="23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4.25" customHeight="1">
      <c r="A927" s="23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4.25" customHeight="1">
      <c r="A928" s="23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4.25" customHeight="1">
      <c r="A929" s="23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4.25" customHeight="1">
      <c r="A930" s="23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4.25" customHeight="1">
      <c r="A931" s="23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4.25" customHeight="1">
      <c r="A932" s="23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4.25" customHeight="1">
      <c r="A933" s="23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4.25" customHeight="1">
      <c r="A934" s="23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4.25" customHeight="1">
      <c r="A935" s="23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4.25" customHeight="1">
      <c r="A936" s="23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4.25" customHeight="1">
      <c r="A937" s="23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4.25" customHeight="1">
      <c r="A938" s="23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4.25" customHeight="1">
      <c r="A939" s="23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4.25" customHeight="1">
      <c r="A940" s="23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4.25" customHeight="1">
      <c r="A941" s="23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4.25" customHeight="1">
      <c r="A942" s="23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4.25" customHeight="1">
      <c r="A943" s="23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4.25" customHeight="1">
      <c r="A944" s="23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4.25" customHeight="1">
      <c r="A945" s="23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4.25" customHeight="1">
      <c r="A946" s="23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4.25" customHeight="1">
      <c r="A947" s="23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4.25" customHeight="1">
      <c r="A948" s="23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4.25" customHeight="1">
      <c r="A949" s="23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4.25" customHeight="1">
      <c r="A950" s="23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4.25" customHeight="1">
      <c r="A951" s="23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4.25" customHeight="1">
      <c r="A952" s="23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4.25" customHeight="1">
      <c r="A953" s="23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4.25" customHeight="1">
      <c r="A954" s="23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4.25" customHeight="1">
      <c r="A955" s="23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4.25" customHeight="1">
      <c r="A956" s="23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4.25" customHeight="1">
      <c r="A957" s="23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4.25" customHeight="1">
      <c r="A958" s="23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4.25" customHeight="1">
      <c r="A959" s="23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4.25" customHeight="1">
      <c r="A960" s="23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4.25" customHeight="1">
      <c r="A961" s="23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4.25" customHeight="1">
      <c r="A962" s="23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4.25" customHeight="1">
      <c r="A963" s="23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4.25" customHeight="1">
      <c r="A964" s="23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4.25" customHeight="1">
      <c r="A965" s="23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4.25" customHeight="1">
      <c r="A966" s="23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4.25" customHeight="1">
      <c r="A967" s="23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4.25" customHeight="1">
      <c r="A968" s="23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4.25" customHeight="1">
      <c r="A969" s="23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4.25" customHeight="1">
      <c r="A970" s="23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4.25" customHeight="1">
      <c r="A971" s="23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4.25" customHeight="1">
      <c r="A972" s="23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4.25" customHeight="1">
      <c r="A973" s="23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4.25" customHeight="1">
      <c r="A974" s="23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4.25" customHeight="1">
      <c r="A975" s="23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4.25" customHeight="1">
      <c r="A976" s="23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4.25" customHeight="1">
      <c r="A977" s="23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4.25" customHeight="1">
      <c r="A978" s="23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4.25" customHeight="1">
      <c r="A979" s="23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4.25" customHeight="1">
      <c r="A980" s="23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4.25" customHeight="1">
      <c r="A981" s="23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4.25" customHeight="1">
      <c r="A982" s="23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4.25" customHeight="1">
      <c r="A983" s="23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4.25" customHeight="1">
      <c r="A984" s="23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4.25" customHeight="1">
      <c r="A985" s="23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4.25" customHeight="1">
      <c r="A986" s="23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4.25" customHeight="1">
      <c r="A987" s="23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4.25" customHeight="1">
      <c r="A988" s="23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4.25" customHeight="1">
      <c r="A989" s="23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4.25" customHeight="1">
      <c r="A990" s="23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4.25" customHeight="1">
      <c r="A991" s="23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4.25" customHeight="1">
      <c r="A992" s="23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4.25" customHeight="1">
      <c r="A993" s="23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4.25" customHeight="1">
      <c r="A994" s="23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4.25" customHeight="1">
      <c r="A995" s="23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4.25" customHeight="1">
      <c r="A996" s="23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4.25" customHeight="1">
      <c r="A997" s="23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4.25" customHeight="1">
      <c r="A998" s="23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4.25" customHeight="1">
      <c r="A999" s="23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4.25" customHeight="1">
      <c r="A1000" s="23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89"/>
  <sheetViews>
    <sheetView rightToLeft="1" zoomScaleNormal="100" workbookViewId="0">
      <pane ySplit="1" topLeftCell="A567" activePane="bottomLeft" state="frozen"/>
      <selection pane="bottomLeft" activeCell="A578" sqref="A578"/>
    </sheetView>
  </sheetViews>
  <sheetFormatPr defaultColWidth="14.44140625" defaultRowHeight="14.4"/>
  <cols>
    <col min="1" max="1" width="40.6640625" customWidth="1"/>
    <col min="2" max="2" width="21.5546875" customWidth="1"/>
    <col min="3" max="3" width="17.5546875" customWidth="1"/>
  </cols>
  <sheetData>
    <row r="1" spans="1:3" ht="15" customHeight="1">
      <c r="A1" s="26" t="s">
        <v>0</v>
      </c>
      <c r="B1" s="26" t="s">
        <v>1</v>
      </c>
      <c r="C1" s="26" t="s">
        <v>2</v>
      </c>
    </row>
    <row r="2" spans="1:3" ht="15" customHeight="1">
      <c r="A2" s="26" t="s">
        <v>1821</v>
      </c>
      <c r="B2" s="26" t="s">
        <v>4</v>
      </c>
      <c r="C2" t="s">
        <v>1822</v>
      </c>
    </row>
    <row r="3" spans="1:3" ht="15" customHeight="1">
      <c r="A3" s="26" t="s">
        <v>1823</v>
      </c>
      <c r="B3" s="26" t="s">
        <v>4</v>
      </c>
      <c r="C3" t="s">
        <v>1824</v>
      </c>
    </row>
    <row r="4" spans="1:3" ht="15" customHeight="1">
      <c r="A4" s="26" t="s">
        <v>1825</v>
      </c>
      <c r="B4" s="26" t="s">
        <v>4</v>
      </c>
      <c r="C4" t="s">
        <v>1826</v>
      </c>
    </row>
    <row r="5" spans="1:3" ht="15" customHeight="1">
      <c r="A5" s="26" t="s">
        <v>1827</v>
      </c>
      <c r="B5" s="26" t="s">
        <v>4</v>
      </c>
      <c r="C5" t="s">
        <v>1828</v>
      </c>
    </row>
    <row r="6" spans="1:3" ht="15" customHeight="1">
      <c r="A6" s="26" t="s">
        <v>1829</v>
      </c>
      <c r="B6" s="26" t="s">
        <v>4</v>
      </c>
      <c r="C6" t="s">
        <v>1830</v>
      </c>
    </row>
    <row r="7" spans="1:3" ht="15" customHeight="1">
      <c r="A7" s="26" t="s">
        <v>1831</v>
      </c>
      <c r="B7" s="26" t="s">
        <v>4</v>
      </c>
      <c r="C7" t="s">
        <v>1832</v>
      </c>
    </row>
    <row r="8" spans="1:3" ht="15" customHeight="1">
      <c r="A8" s="26" t="s">
        <v>1833</v>
      </c>
      <c r="B8" s="26" t="s">
        <v>4</v>
      </c>
      <c r="C8" t="s">
        <v>1834</v>
      </c>
    </row>
    <row r="9" spans="1:3" ht="15" customHeight="1">
      <c r="A9" s="26" t="s">
        <v>1835</v>
      </c>
      <c r="B9" s="26" t="s">
        <v>4</v>
      </c>
      <c r="C9" t="s">
        <v>1836</v>
      </c>
    </row>
    <row r="10" spans="1:3" ht="15" customHeight="1">
      <c r="A10" s="26" t="s">
        <v>1837</v>
      </c>
      <c r="B10" s="26" t="s">
        <v>4</v>
      </c>
      <c r="C10" t="s">
        <v>1838</v>
      </c>
    </row>
    <row r="11" spans="1:3" ht="15" customHeight="1">
      <c r="A11" s="26" t="s">
        <v>1839</v>
      </c>
      <c r="B11" s="26" t="s">
        <v>4</v>
      </c>
      <c r="C11" t="s">
        <v>1840</v>
      </c>
    </row>
    <row r="12" spans="1:3" ht="15" customHeight="1">
      <c r="A12" s="26" t="s">
        <v>1841</v>
      </c>
      <c r="B12" s="26" t="s">
        <v>4</v>
      </c>
      <c r="C12" t="s">
        <v>1842</v>
      </c>
    </row>
    <row r="13" spans="1:3" ht="15" customHeight="1">
      <c r="A13" s="26" t="s">
        <v>1843</v>
      </c>
      <c r="B13" s="26" t="s">
        <v>4</v>
      </c>
      <c r="C13" t="s">
        <v>1844</v>
      </c>
    </row>
    <row r="14" spans="1:3" ht="15" customHeight="1">
      <c r="A14" s="26" t="s">
        <v>1845</v>
      </c>
      <c r="B14" s="26" t="s">
        <v>4</v>
      </c>
      <c r="C14" t="s">
        <v>1846</v>
      </c>
    </row>
    <row r="15" spans="1:3" ht="15" customHeight="1">
      <c r="A15" s="26" t="s">
        <v>1847</v>
      </c>
      <c r="B15" s="26" t="s">
        <v>4</v>
      </c>
      <c r="C15" t="s">
        <v>1848</v>
      </c>
    </row>
    <row r="16" spans="1:3" ht="15" customHeight="1">
      <c r="A16" s="26" t="s">
        <v>1849</v>
      </c>
      <c r="B16" s="26" t="s">
        <v>4</v>
      </c>
      <c r="C16" t="s">
        <v>1850</v>
      </c>
    </row>
    <row r="17" spans="1:3" ht="15" customHeight="1">
      <c r="A17" s="26" t="s">
        <v>1851</v>
      </c>
      <c r="B17" s="26" t="s">
        <v>4</v>
      </c>
      <c r="C17" t="s">
        <v>1852</v>
      </c>
    </row>
    <row r="18" spans="1:3" ht="15" customHeight="1">
      <c r="A18" s="26" t="s">
        <v>1853</v>
      </c>
      <c r="B18" s="26" t="s">
        <v>4</v>
      </c>
      <c r="C18" t="s">
        <v>1854</v>
      </c>
    </row>
    <row r="19" spans="1:3" ht="15" customHeight="1">
      <c r="A19" s="26" t="s">
        <v>1855</v>
      </c>
      <c r="B19" s="26" t="s">
        <v>4</v>
      </c>
      <c r="C19" t="s">
        <v>1856</v>
      </c>
    </row>
    <row r="20" spans="1:3" ht="15" customHeight="1">
      <c r="A20" s="26" t="s">
        <v>1857</v>
      </c>
      <c r="B20" s="26" t="s">
        <v>4</v>
      </c>
      <c r="C20" t="s">
        <v>1858</v>
      </c>
    </row>
    <row r="21" spans="1:3" ht="15" customHeight="1">
      <c r="A21" s="26" t="s">
        <v>1859</v>
      </c>
      <c r="B21" s="26" t="s">
        <v>4</v>
      </c>
      <c r="C21" t="s">
        <v>1860</v>
      </c>
    </row>
    <row r="22" spans="1:3" ht="15" customHeight="1">
      <c r="A22" s="26" t="s">
        <v>1861</v>
      </c>
      <c r="B22" s="26" t="s">
        <v>4</v>
      </c>
      <c r="C22" t="s">
        <v>1862</v>
      </c>
    </row>
    <row r="23" spans="1:3" ht="15" customHeight="1">
      <c r="A23" s="26" t="s">
        <v>1863</v>
      </c>
      <c r="B23" s="26" t="s">
        <v>4</v>
      </c>
      <c r="C23" t="s">
        <v>1864</v>
      </c>
    </row>
    <row r="24" spans="1:3" ht="15" customHeight="1">
      <c r="A24" s="26" t="s">
        <v>1865</v>
      </c>
      <c r="B24" s="26" t="s">
        <v>27</v>
      </c>
      <c r="C24" t="s">
        <v>1866</v>
      </c>
    </row>
    <row r="25" spans="1:3" ht="15" customHeight="1">
      <c r="A25" s="26" t="s">
        <v>1867</v>
      </c>
      <c r="B25" s="26" t="s">
        <v>27</v>
      </c>
      <c r="C25" t="s">
        <v>1868</v>
      </c>
    </row>
    <row r="26" spans="1:3" ht="15" customHeight="1">
      <c r="A26" s="26" t="s">
        <v>1869</v>
      </c>
      <c r="B26" s="26" t="s">
        <v>27</v>
      </c>
      <c r="C26" t="s">
        <v>1870</v>
      </c>
    </row>
    <row r="27" spans="1:3" ht="15" customHeight="1">
      <c r="A27" s="26" t="s">
        <v>1871</v>
      </c>
      <c r="B27" s="26" t="s">
        <v>27</v>
      </c>
      <c r="C27" t="s">
        <v>1872</v>
      </c>
    </row>
    <row r="28" spans="1:3" ht="15" customHeight="1">
      <c r="A28" s="26" t="s">
        <v>1873</v>
      </c>
      <c r="B28" s="26" t="s">
        <v>27</v>
      </c>
      <c r="C28" t="s">
        <v>1874</v>
      </c>
    </row>
    <row r="29" spans="1:3" ht="15" customHeight="1">
      <c r="A29" s="26" t="s">
        <v>1875</v>
      </c>
      <c r="B29" s="26" t="s">
        <v>27</v>
      </c>
      <c r="C29" t="s">
        <v>1876</v>
      </c>
    </row>
    <row r="30" spans="1:3" ht="15" customHeight="1">
      <c r="A30" s="26" t="s">
        <v>1877</v>
      </c>
      <c r="B30" s="26" t="s">
        <v>27</v>
      </c>
      <c r="C30" t="s">
        <v>1878</v>
      </c>
    </row>
    <row r="31" spans="1:3" ht="15" customHeight="1">
      <c r="A31" s="26" t="s">
        <v>1879</v>
      </c>
      <c r="B31" s="26" t="s">
        <v>27</v>
      </c>
      <c r="C31" t="s">
        <v>1880</v>
      </c>
    </row>
    <row r="32" spans="1:3" ht="15" customHeight="1">
      <c r="A32" s="26" t="s">
        <v>1881</v>
      </c>
      <c r="B32" s="26" t="s">
        <v>27</v>
      </c>
      <c r="C32" t="s">
        <v>1882</v>
      </c>
    </row>
    <row r="33" spans="1:3" ht="15" customHeight="1">
      <c r="A33" s="26" t="s">
        <v>1883</v>
      </c>
      <c r="B33" s="26" t="s">
        <v>27</v>
      </c>
      <c r="C33" t="s">
        <v>1884</v>
      </c>
    </row>
    <row r="34" spans="1:3" ht="15" customHeight="1">
      <c r="A34" s="26" t="s">
        <v>1885</v>
      </c>
      <c r="B34" s="26" t="s">
        <v>27</v>
      </c>
      <c r="C34" t="s">
        <v>1886</v>
      </c>
    </row>
    <row r="35" spans="1:3" ht="15" customHeight="1">
      <c r="A35" s="26" t="s">
        <v>1887</v>
      </c>
      <c r="B35" s="26" t="s">
        <v>27</v>
      </c>
      <c r="C35" t="s">
        <v>1888</v>
      </c>
    </row>
    <row r="36" spans="1:3" ht="15" customHeight="1">
      <c r="A36" s="26" t="s">
        <v>1889</v>
      </c>
      <c r="B36" s="26" t="s">
        <v>27</v>
      </c>
      <c r="C36" t="s">
        <v>1890</v>
      </c>
    </row>
    <row r="37" spans="1:3" ht="15" customHeight="1">
      <c r="A37" s="26" t="s">
        <v>1891</v>
      </c>
      <c r="B37" s="26" t="s">
        <v>27</v>
      </c>
      <c r="C37" t="s">
        <v>1892</v>
      </c>
    </row>
    <row r="38" spans="1:3" ht="15" customHeight="1">
      <c r="A38" s="26" t="s">
        <v>1893</v>
      </c>
      <c r="B38" s="26" t="s">
        <v>27</v>
      </c>
      <c r="C38" t="s">
        <v>1894</v>
      </c>
    </row>
    <row r="39" spans="1:3" ht="15" customHeight="1">
      <c r="A39" s="26" t="s">
        <v>1895</v>
      </c>
      <c r="B39" s="26" t="s">
        <v>27</v>
      </c>
      <c r="C39" t="s">
        <v>1896</v>
      </c>
    </row>
    <row r="40" spans="1:3" ht="15" customHeight="1">
      <c r="A40" s="26" t="s">
        <v>1897</v>
      </c>
      <c r="B40" s="26" t="s">
        <v>27</v>
      </c>
      <c r="C40" t="s">
        <v>1898</v>
      </c>
    </row>
    <row r="41" spans="1:3" ht="15" customHeight="1">
      <c r="A41" s="26" t="s">
        <v>1899</v>
      </c>
      <c r="B41" s="26" t="s">
        <v>27</v>
      </c>
      <c r="C41" t="s">
        <v>1900</v>
      </c>
    </row>
    <row r="42" spans="1:3" ht="15" customHeight="1">
      <c r="A42" s="26" t="s">
        <v>1901</v>
      </c>
      <c r="B42" s="26" t="s">
        <v>27</v>
      </c>
      <c r="C42" t="s">
        <v>1902</v>
      </c>
    </row>
    <row r="43" spans="1:3" ht="15" customHeight="1">
      <c r="A43" s="26" t="s">
        <v>1903</v>
      </c>
      <c r="B43" s="26" t="s">
        <v>27</v>
      </c>
      <c r="C43" t="s">
        <v>1904</v>
      </c>
    </row>
    <row r="44" spans="1:3" ht="15" customHeight="1">
      <c r="A44" s="26" t="s">
        <v>1905</v>
      </c>
      <c r="B44" s="26" t="s">
        <v>27</v>
      </c>
      <c r="C44" t="s">
        <v>1906</v>
      </c>
    </row>
    <row r="45" spans="1:3" ht="15" customHeight="1">
      <c r="A45" s="26" t="s">
        <v>1907</v>
      </c>
      <c r="B45" s="26" t="s">
        <v>27</v>
      </c>
      <c r="C45" t="s">
        <v>1908</v>
      </c>
    </row>
    <row r="46" spans="1:3" ht="15" customHeight="1">
      <c r="A46" s="26" t="s">
        <v>49</v>
      </c>
      <c r="B46" s="26" t="s">
        <v>4</v>
      </c>
      <c r="C46" t="s">
        <v>1909</v>
      </c>
    </row>
    <row r="47" spans="1:3" ht="15" customHeight="1">
      <c r="A47" s="26" t="s">
        <v>51</v>
      </c>
      <c r="B47" s="26" t="s">
        <v>4</v>
      </c>
      <c r="C47" t="s">
        <v>1910</v>
      </c>
    </row>
    <row r="48" spans="1:3" ht="15" customHeight="1">
      <c r="A48" s="26" t="s">
        <v>53</v>
      </c>
      <c r="B48" s="26" t="s">
        <v>4</v>
      </c>
      <c r="C48" t="s">
        <v>1911</v>
      </c>
    </row>
    <row r="49" spans="1:3" ht="15" customHeight="1">
      <c r="A49" s="26" t="s">
        <v>55</v>
      </c>
      <c r="B49" s="26" t="s">
        <v>4</v>
      </c>
      <c r="C49" t="s">
        <v>1912</v>
      </c>
    </row>
    <row r="50" spans="1:3" ht="15" customHeight="1">
      <c r="A50" s="26" t="s">
        <v>57</v>
      </c>
      <c r="B50" s="26" t="s">
        <v>4</v>
      </c>
      <c r="C50" t="s">
        <v>1913</v>
      </c>
    </row>
    <row r="51" spans="1:3" ht="15" customHeight="1">
      <c r="A51" s="26" t="s">
        <v>59</v>
      </c>
      <c r="B51" s="26" t="s">
        <v>4</v>
      </c>
      <c r="C51" t="s">
        <v>1914</v>
      </c>
    </row>
    <row r="52" spans="1:3" ht="15" customHeight="1">
      <c r="A52" s="26" t="s">
        <v>61</v>
      </c>
      <c r="B52" s="26" t="s">
        <v>4</v>
      </c>
      <c r="C52" t="s">
        <v>1915</v>
      </c>
    </row>
    <row r="53" spans="1:3" ht="15" customHeight="1">
      <c r="A53" s="26" t="s">
        <v>63</v>
      </c>
      <c r="B53" s="26" t="s">
        <v>4</v>
      </c>
      <c r="C53" t="s">
        <v>1916</v>
      </c>
    </row>
    <row r="54" spans="1:3" ht="15" customHeight="1">
      <c r="A54" s="26" t="s">
        <v>65</v>
      </c>
      <c r="B54" s="26" t="s">
        <v>4</v>
      </c>
      <c r="C54" t="s">
        <v>1917</v>
      </c>
    </row>
    <row r="55" spans="1:3" ht="15" customHeight="1">
      <c r="A55" s="26" t="s">
        <v>67</v>
      </c>
      <c r="B55" s="26" t="s">
        <v>4</v>
      </c>
      <c r="C55" t="s">
        <v>1918</v>
      </c>
    </row>
    <row r="56" spans="1:3" ht="15" customHeight="1">
      <c r="A56" s="26" t="s">
        <v>69</v>
      </c>
      <c r="B56" s="26" t="s">
        <v>4</v>
      </c>
      <c r="C56" t="s">
        <v>1919</v>
      </c>
    </row>
    <row r="57" spans="1:3" ht="15" customHeight="1">
      <c r="A57" s="26" t="s">
        <v>71</v>
      </c>
      <c r="B57" s="26" t="s">
        <v>27</v>
      </c>
      <c r="C57" t="s">
        <v>1920</v>
      </c>
    </row>
    <row r="58" spans="1:3" ht="15" customHeight="1">
      <c r="A58" s="26" t="s">
        <v>73</v>
      </c>
      <c r="B58" s="26" t="s">
        <v>27</v>
      </c>
      <c r="C58" t="s">
        <v>1921</v>
      </c>
    </row>
    <row r="59" spans="1:3" ht="15" customHeight="1">
      <c r="A59" s="26" t="s">
        <v>75</v>
      </c>
      <c r="B59" s="26" t="s">
        <v>27</v>
      </c>
      <c r="C59" t="s">
        <v>1922</v>
      </c>
    </row>
    <row r="60" spans="1:3" ht="15" customHeight="1">
      <c r="A60" s="26" t="s">
        <v>77</v>
      </c>
      <c r="B60" s="26" t="s">
        <v>27</v>
      </c>
      <c r="C60" t="s">
        <v>1923</v>
      </c>
    </row>
    <row r="61" spans="1:3" ht="15" customHeight="1">
      <c r="A61" s="26" t="s">
        <v>79</v>
      </c>
      <c r="B61" s="26" t="s">
        <v>27</v>
      </c>
      <c r="C61" t="s">
        <v>1924</v>
      </c>
    </row>
    <row r="62" spans="1:3" ht="15" customHeight="1">
      <c r="A62" s="26" t="s">
        <v>81</v>
      </c>
      <c r="B62" s="26" t="s">
        <v>27</v>
      </c>
      <c r="C62" t="s">
        <v>1925</v>
      </c>
    </row>
    <row r="63" spans="1:3" ht="15" customHeight="1">
      <c r="A63" s="26" t="s">
        <v>83</v>
      </c>
      <c r="B63" s="26" t="s">
        <v>27</v>
      </c>
      <c r="C63" t="s">
        <v>1926</v>
      </c>
    </row>
    <row r="64" spans="1:3" ht="15" customHeight="1">
      <c r="A64" s="26" t="s">
        <v>85</v>
      </c>
      <c r="B64" s="26" t="s">
        <v>27</v>
      </c>
      <c r="C64" t="s">
        <v>1927</v>
      </c>
    </row>
    <row r="65" spans="1:3" ht="15" customHeight="1">
      <c r="A65" s="26" t="s">
        <v>87</v>
      </c>
      <c r="B65" s="26" t="s">
        <v>27</v>
      </c>
      <c r="C65" t="s">
        <v>1928</v>
      </c>
    </row>
    <row r="66" spans="1:3" ht="15" customHeight="1">
      <c r="A66" s="26" t="s">
        <v>89</v>
      </c>
      <c r="B66" s="26" t="s">
        <v>27</v>
      </c>
      <c r="C66" t="s">
        <v>1929</v>
      </c>
    </row>
    <row r="67" spans="1:3" ht="15" customHeight="1">
      <c r="A67" s="26" t="s">
        <v>91</v>
      </c>
      <c r="B67" s="26" t="s">
        <v>27</v>
      </c>
      <c r="C67" t="s">
        <v>1930</v>
      </c>
    </row>
    <row r="68" spans="1:3" ht="15" customHeight="1">
      <c r="A68" s="26" t="s">
        <v>1931</v>
      </c>
      <c r="B68" s="26" t="s">
        <v>4</v>
      </c>
      <c r="C68" t="s">
        <v>1932</v>
      </c>
    </row>
    <row r="69" spans="1:3" ht="15" customHeight="1">
      <c r="A69" s="26" t="s">
        <v>1933</v>
      </c>
      <c r="B69" s="26" t="s">
        <v>4</v>
      </c>
      <c r="C69" t="s">
        <v>1934</v>
      </c>
    </row>
    <row r="70" spans="1:3" ht="15" customHeight="1">
      <c r="A70" s="26" t="s">
        <v>1935</v>
      </c>
      <c r="B70" s="26" t="s">
        <v>4</v>
      </c>
      <c r="C70" t="s">
        <v>1936</v>
      </c>
    </row>
    <row r="71" spans="1:3" ht="15" customHeight="1">
      <c r="A71" s="26" t="s">
        <v>1937</v>
      </c>
      <c r="B71" s="26" t="s">
        <v>4</v>
      </c>
      <c r="C71" t="s">
        <v>1938</v>
      </c>
    </row>
    <row r="72" spans="1:3" ht="15" customHeight="1">
      <c r="A72" s="26" t="s">
        <v>1939</v>
      </c>
      <c r="B72" s="26" t="s">
        <v>4</v>
      </c>
      <c r="C72" t="s">
        <v>1940</v>
      </c>
    </row>
    <row r="73" spans="1:3" ht="15" customHeight="1">
      <c r="A73" s="26" t="s">
        <v>1941</v>
      </c>
      <c r="B73" s="26" t="s">
        <v>4</v>
      </c>
      <c r="C73" t="s">
        <v>1942</v>
      </c>
    </row>
    <row r="74" spans="1:3" ht="15" customHeight="1">
      <c r="A74" s="26" t="s">
        <v>1943</v>
      </c>
      <c r="B74" s="26" t="s">
        <v>4</v>
      </c>
      <c r="C74" t="s">
        <v>1944</v>
      </c>
    </row>
    <row r="75" spans="1:3" ht="15" customHeight="1">
      <c r="A75" s="26" t="s">
        <v>1945</v>
      </c>
      <c r="B75" s="26" t="s">
        <v>4</v>
      </c>
      <c r="C75" t="s">
        <v>1946</v>
      </c>
    </row>
    <row r="76" spans="1:3" ht="15" customHeight="1">
      <c r="A76" s="26" t="s">
        <v>1947</v>
      </c>
      <c r="B76" s="26" t="s">
        <v>4</v>
      </c>
      <c r="C76" t="s">
        <v>1948</v>
      </c>
    </row>
    <row r="77" spans="1:3" ht="15" customHeight="1">
      <c r="A77" s="26" t="s">
        <v>1949</v>
      </c>
      <c r="B77" s="26" t="s">
        <v>4</v>
      </c>
      <c r="C77" t="s">
        <v>1950</v>
      </c>
    </row>
    <row r="78" spans="1:3" ht="15" customHeight="1">
      <c r="A78" s="26" t="s">
        <v>1951</v>
      </c>
      <c r="B78" s="26" t="s">
        <v>4</v>
      </c>
      <c r="C78" t="s">
        <v>1952</v>
      </c>
    </row>
    <row r="79" spans="1:3" ht="15" customHeight="1">
      <c r="A79" s="26" t="s">
        <v>1953</v>
      </c>
      <c r="B79" s="26" t="s">
        <v>4</v>
      </c>
      <c r="C79" t="s">
        <v>1954</v>
      </c>
    </row>
    <row r="80" spans="1:3" ht="15" customHeight="1">
      <c r="A80" s="26" t="s">
        <v>1955</v>
      </c>
      <c r="B80" s="26" t="s">
        <v>4</v>
      </c>
      <c r="C80" t="s">
        <v>1956</v>
      </c>
    </row>
    <row r="81" spans="1:3" ht="15" customHeight="1">
      <c r="A81" s="26" t="s">
        <v>1957</v>
      </c>
      <c r="B81" s="26" t="s">
        <v>4</v>
      </c>
      <c r="C81" t="s">
        <v>1958</v>
      </c>
    </row>
    <row r="82" spans="1:3" ht="15" customHeight="1">
      <c r="A82" s="26" t="s">
        <v>1959</v>
      </c>
      <c r="B82" s="26" t="s">
        <v>4</v>
      </c>
      <c r="C82" t="s">
        <v>1960</v>
      </c>
    </row>
    <row r="83" spans="1:3" ht="15" customHeight="1">
      <c r="A83" s="26" t="s">
        <v>1961</v>
      </c>
      <c r="B83" s="26" t="s">
        <v>4</v>
      </c>
      <c r="C83" t="s">
        <v>1962</v>
      </c>
    </row>
    <row r="84" spans="1:3" ht="15" customHeight="1">
      <c r="A84" s="26" t="s">
        <v>1963</v>
      </c>
      <c r="B84" s="26" t="s">
        <v>4</v>
      </c>
      <c r="C84" t="s">
        <v>1964</v>
      </c>
    </row>
    <row r="85" spans="1:3" ht="15" customHeight="1">
      <c r="A85" s="26" t="s">
        <v>1965</v>
      </c>
      <c r="B85" s="26" t="s">
        <v>4</v>
      </c>
      <c r="C85" t="s">
        <v>1966</v>
      </c>
    </row>
    <row r="86" spans="1:3" ht="15" customHeight="1">
      <c r="A86" s="26" t="s">
        <v>1967</v>
      </c>
      <c r="B86" s="26" t="s">
        <v>4</v>
      </c>
      <c r="C86" t="s">
        <v>1968</v>
      </c>
    </row>
    <row r="87" spans="1:3" ht="15" customHeight="1">
      <c r="A87" s="26" t="s">
        <v>1969</v>
      </c>
      <c r="B87" s="26" t="s">
        <v>4</v>
      </c>
      <c r="C87" t="s">
        <v>1970</v>
      </c>
    </row>
    <row r="88" spans="1:3" ht="15" customHeight="1">
      <c r="A88" s="26" t="s">
        <v>1971</v>
      </c>
      <c r="B88" s="26" t="s">
        <v>4</v>
      </c>
      <c r="C88" t="s">
        <v>1972</v>
      </c>
    </row>
    <row r="89" spans="1:3" ht="15" customHeight="1">
      <c r="A89" s="26" t="s">
        <v>1973</v>
      </c>
      <c r="B89" s="26" t="s">
        <v>4</v>
      </c>
      <c r="C89" t="s">
        <v>1974</v>
      </c>
    </row>
    <row r="90" spans="1:3" ht="15" customHeight="1">
      <c r="A90" s="26" t="s">
        <v>1975</v>
      </c>
      <c r="B90" s="26" t="s">
        <v>27</v>
      </c>
      <c r="C90" t="s">
        <v>1976</v>
      </c>
    </row>
    <row r="91" spans="1:3" ht="15" customHeight="1">
      <c r="A91" s="26" t="s">
        <v>1977</v>
      </c>
      <c r="B91" s="26" t="s">
        <v>27</v>
      </c>
      <c r="C91" t="s">
        <v>1978</v>
      </c>
    </row>
    <row r="92" spans="1:3" ht="15" customHeight="1">
      <c r="A92" s="26" t="s">
        <v>1979</v>
      </c>
      <c r="B92" s="26" t="s">
        <v>27</v>
      </c>
      <c r="C92" t="s">
        <v>1980</v>
      </c>
    </row>
    <row r="93" spans="1:3" ht="15" customHeight="1">
      <c r="A93" s="26" t="s">
        <v>1981</v>
      </c>
      <c r="B93" s="26" t="s">
        <v>27</v>
      </c>
      <c r="C93" t="s">
        <v>1982</v>
      </c>
    </row>
    <row r="94" spans="1:3" ht="15" customHeight="1">
      <c r="A94" s="26" t="s">
        <v>1983</v>
      </c>
      <c r="B94" s="26" t="s">
        <v>27</v>
      </c>
      <c r="C94" t="s">
        <v>1984</v>
      </c>
    </row>
    <row r="95" spans="1:3" ht="15" customHeight="1">
      <c r="A95" s="26" t="s">
        <v>1985</v>
      </c>
      <c r="B95" s="26" t="s">
        <v>27</v>
      </c>
      <c r="C95" t="s">
        <v>1986</v>
      </c>
    </row>
    <row r="96" spans="1:3" ht="15" customHeight="1">
      <c r="A96" s="26" t="s">
        <v>1987</v>
      </c>
      <c r="B96" s="26" t="s">
        <v>27</v>
      </c>
      <c r="C96" t="s">
        <v>1988</v>
      </c>
    </row>
    <row r="97" spans="1:3" ht="15" customHeight="1">
      <c r="A97" s="26" t="s">
        <v>1989</v>
      </c>
      <c r="B97" s="26" t="s">
        <v>27</v>
      </c>
      <c r="C97" t="s">
        <v>1990</v>
      </c>
    </row>
    <row r="98" spans="1:3" ht="15" customHeight="1">
      <c r="A98" s="26" t="s">
        <v>1991</v>
      </c>
      <c r="B98" s="26" t="s">
        <v>27</v>
      </c>
      <c r="C98" t="s">
        <v>1992</v>
      </c>
    </row>
    <row r="99" spans="1:3" ht="15" customHeight="1">
      <c r="A99" s="26" t="s">
        <v>1993</v>
      </c>
      <c r="B99" s="26" t="s">
        <v>27</v>
      </c>
      <c r="C99" t="s">
        <v>1994</v>
      </c>
    </row>
    <row r="100" spans="1:3" ht="15" customHeight="1">
      <c r="A100" s="26" t="s">
        <v>1995</v>
      </c>
      <c r="B100" s="26" t="s">
        <v>27</v>
      </c>
      <c r="C100" t="s">
        <v>1996</v>
      </c>
    </row>
    <row r="101" spans="1:3" ht="15" customHeight="1">
      <c r="A101" s="26" t="s">
        <v>1997</v>
      </c>
      <c r="B101" s="26" t="s">
        <v>27</v>
      </c>
      <c r="C101" t="s">
        <v>1998</v>
      </c>
    </row>
    <row r="102" spans="1:3" ht="15" customHeight="1">
      <c r="A102" s="26" t="s">
        <v>1999</v>
      </c>
      <c r="B102" s="26" t="s">
        <v>27</v>
      </c>
      <c r="C102" t="s">
        <v>2000</v>
      </c>
    </row>
    <row r="103" spans="1:3" ht="15" customHeight="1">
      <c r="A103" s="26" t="s">
        <v>2001</v>
      </c>
      <c r="B103" s="26" t="s">
        <v>27</v>
      </c>
      <c r="C103" t="s">
        <v>2002</v>
      </c>
    </row>
    <row r="104" spans="1:3" ht="15" customHeight="1">
      <c r="A104" s="26" t="s">
        <v>2003</v>
      </c>
      <c r="B104" s="26" t="s">
        <v>27</v>
      </c>
      <c r="C104" t="s">
        <v>2004</v>
      </c>
    </row>
    <row r="105" spans="1:3" ht="15" customHeight="1">
      <c r="A105" s="26" t="s">
        <v>2005</v>
      </c>
      <c r="B105" s="26" t="s">
        <v>27</v>
      </c>
      <c r="C105" t="s">
        <v>2006</v>
      </c>
    </row>
    <row r="106" spans="1:3" ht="15" customHeight="1">
      <c r="A106" s="26" t="s">
        <v>2007</v>
      </c>
      <c r="B106" s="26" t="s">
        <v>27</v>
      </c>
      <c r="C106" t="s">
        <v>2008</v>
      </c>
    </row>
    <row r="107" spans="1:3" ht="15" customHeight="1">
      <c r="A107" s="26" t="s">
        <v>2009</v>
      </c>
      <c r="B107" s="26" t="s">
        <v>27</v>
      </c>
      <c r="C107" t="s">
        <v>2010</v>
      </c>
    </row>
    <row r="108" spans="1:3" ht="15" customHeight="1">
      <c r="A108" s="26" t="s">
        <v>2011</v>
      </c>
      <c r="B108" s="26" t="s">
        <v>27</v>
      </c>
      <c r="C108" t="s">
        <v>2012</v>
      </c>
    </row>
    <row r="109" spans="1:3" ht="15" customHeight="1">
      <c r="A109" s="26" t="s">
        <v>2013</v>
      </c>
      <c r="B109" s="26" t="s">
        <v>27</v>
      </c>
      <c r="C109" t="s">
        <v>2014</v>
      </c>
    </row>
    <row r="110" spans="1:3" ht="15" customHeight="1">
      <c r="A110" s="26" t="s">
        <v>2015</v>
      </c>
      <c r="B110" s="26" t="s">
        <v>27</v>
      </c>
      <c r="C110" t="s">
        <v>2016</v>
      </c>
    </row>
    <row r="111" spans="1:3" ht="15" customHeight="1">
      <c r="A111" s="26" t="s">
        <v>2017</v>
      </c>
      <c r="B111" s="26" t="s">
        <v>27</v>
      </c>
      <c r="C111" t="s">
        <v>2018</v>
      </c>
    </row>
    <row r="112" spans="1:3" ht="15" customHeight="1">
      <c r="A112" s="26" t="s">
        <v>2019</v>
      </c>
      <c r="B112" s="26" t="s">
        <v>138</v>
      </c>
      <c r="C112" t="s">
        <v>2020</v>
      </c>
    </row>
    <row r="113" spans="1:3" ht="15" customHeight="1">
      <c r="A113" s="26" t="s">
        <v>2021</v>
      </c>
      <c r="B113" s="26" t="s">
        <v>138</v>
      </c>
      <c r="C113" t="s">
        <v>2022</v>
      </c>
    </row>
    <row r="114" spans="1:3" ht="15" customHeight="1">
      <c r="A114" s="26" t="s">
        <v>140</v>
      </c>
      <c r="B114" s="26" t="s">
        <v>138</v>
      </c>
      <c r="C114" t="s">
        <v>2023</v>
      </c>
    </row>
    <row r="115" spans="1:3" ht="15" customHeight="1">
      <c r="A115" s="26" t="s">
        <v>2024</v>
      </c>
      <c r="B115" s="26" t="s">
        <v>138</v>
      </c>
      <c r="C115" t="s">
        <v>2025</v>
      </c>
    </row>
    <row r="116" spans="1:3" ht="15" customHeight="1">
      <c r="A116" s="26" t="s">
        <v>2026</v>
      </c>
      <c r="B116" s="26" t="s">
        <v>138</v>
      </c>
      <c r="C116" t="s">
        <v>2027</v>
      </c>
    </row>
    <row r="117" spans="1:3" ht="15" customHeight="1">
      <c r="A117" s="26" t="s">
        <v>2028</v>
      </c>
      <c r="B117" s="26" t="s">
        <v>138</v>
      </c>
      <c r="C117" t="s">
        <v>2029</v>
      </c>
    </row>
    <row r="118" spans="1:3" ht="15" customHeight="1">
      <c r="A118" s="26" t="s">
        <v>2030</v>
      </c>
      <c r="B118" s="26" t="s">
        <v>138</v>
      </c>
      <c r="C118" t="s">
        <v>2031</v>
      </c>
    </row>
    <row r="119" spans="1:3" ht="15" customHeight="1">
      <c r="A119" s="26" t="s">
        <v>146</v>
      </c>
      <c r="B119" s="26" t="s">
        <v>138</v>
      </c>
      <c r="C119" t="s">
        <v>2032</v>
      </c>
    </row>
    <row r="120" spans="1:3" ht="15" customHeight="1">
      <c r="A120" s="26" t="s">
        <v>2033</v>
      </c>
      <c r="B120" s="26" t="s">
        <v>138</v>
      </c>
      <c r="C120" t="s">
        <v>2034</v>
      </c>
    </row>
    <row r="121" spans="1:3" ht="15" customHeight="1">
      <c r="A121" s="26" t="s">
        <v>2035</v>
      </c>
      <c r="B121" s="26" t="s">
        <v>138</v>
      </c>
      <c r="C121" t="s">
        <v>2036</v>
      </c>
    </row>
    <row r="122" spans="1:3" ht="15" customHeight="1">
      <c r="A122" s="26" t="s">
        <v>2037</v>
      </c>
      <c r="B122" s="26" t="s">
        <v>138</v>
      </c>
      <c r="C122" t="s">
        <v>2038</v>
      </c>
    </row>
    <row r="123" spans="1:3" ht="15" customHeight="1">
      <c r="A123" s="26" t="s">
        <v>2039</v>
      </c>
      <c r="B123" s="26" t="s">
        <v>138</v>
      </c>
      <c r="C123" t="s">
        <v>2040</v>
      </c>
    </row>
    <row r="124" spans="1:3" ht="15" customHeight="1">
      <c r="A124" s="26" t="s">
        <v>152</v>
      </c>
      <c r="B124" s="26" t="s">
        <v>138</v>
      </c>
      <c r="C124" t="s">
        <v>2041</v>
      </c>
    </row>
    <row r="125" spans="1:3" ht="15" customHeight="1">
      <c r="A125" s="26" t="s">
        <v>2042</v>
      </c>
      <c r="B125" s="26" t="s">
        <v>138</v>
      </c>
      <c r="C125" t="s">
        <v>2043</v>
      </c>
    </row>
    <row r="126" spans="1:3" ht="15" customHeight="1">
      <c r="A126" s="26" t="s">
        <v>2044</v>
      </c>
      <c r="B126" s="26" t="s">
        <v>138</v>
      </c>
      <c r="C126" t="s">
        <v>2045</v>
      </c>
    </row>
    <row r="127" spans="1:3" ht="15" customHeight="1">
      <c r="A127" s="26" t="s">
        <v>2046</v>
      </c>
      <c r="B127" s="26" t="s">
        <v>138</v>
      </c>
      <c r="C127" t="s">
        <v>2047</v>
      </c>
    </row>
    <row r="128" spans="1:3" ht="15" customHeight="1">
      <c r="A128" s="26" t="s">
        <v>2048</v>
      </c>
      <c r="B128" s="26" t="s">
        <v>138</v>
      </c>
      <c r="C128" t="s">
        <v>2049</v>
      </c>
    </row>
    <row r="129" spans="1:3" ht="15" customHeight="1">
      <c r="A129" s="26" t="s">
        <v>158</v>
      </c>
      <c r="B129" s="26" t="s">
        <v>138</v>
      </c>
      <c r="C129" t="s">
        <v>2050</v>
      </c>
    </row>
    <row r="130" spans="1:3" ht="15" customHeight="1">
      <c r="A130" s="26" t="s">
        <v>2051</v>
      </c>
      <c r="B130" s="26" t="s">
        <v>138</v>
      </c>
      <c r="C130" t="s">
        <v>2052</v>
      </c>
    </row>
    <row r="131" spans="1:3" ht="15" customHeight="1">
      <c r="A131" s="26" t="s">
        <v>2053</v>
      </c>
      <c r="B131" s="26" t="s">
        <v>138</v>
      </c>
      <c r="C131" t="s">
        <v>2054</v>
      </c>
    </row>
    <row r="132" spans="1:3" ht="15" customHeight="1">
      <c r="A132" s="26" t="s">
        <v>2055</v>
      </c>
      <c r="B132" s="26" t="s">
        <v>138</v>
      </c>
      <c r="C132" t="s">
        <v>2056</v>
      </c>
    </row>
    <row r="133" spans="1:3" ht="15" customHeight="1">
      <c r="A133" s="26" t="s">
        <v>2057</v>
      </c>
      <c r="B133" s="26" t="s">
        <v>138</v>
      </c>
      <c r="C133" t="s">
        <v>2058</v>
      </c>
    </row>
    <row r="134" spans="1:3" ht="15" customHeight="1">
      <c r="A134" s="26" t="s">
        <v>164</v>
      </c>
      <c r="B134" s="26" t="s">
        <v>138</v>
      </c>
      <c r="C134" t="s">
        <v>2059</v>
      </c>
    </row>
    <row r="135" spans="1:3" ht="15" customHeight="1">
      <c r="A135" s="26" t="s">
        <v>2060</v>
      </c>
      <c r="B135" s="26" t="s">
        <v>138</v>
      </c>
      <c r="C135" t="s">
        <v>2061</v>
      </c>
    </row>
    <row r="136" spans="1:3" ht="15" customHeight="1">
      <c r="A136" s="26" t="s">
        <v>2062</v>
      </c>
      <c r="B136" s="26" t="s">
        <v>138</v>
      </c>
      <c r="C136" t="s">
        <v>2063</v>
      </c>
    </row>
    <row r="137" spans="1:3" ht="15" customHeight="1">
      <c r="A137" s="26" t="s">
        <v>2064</v>
      </c>
      <c r="B137" s="26" t="s">
        <v>138</v>
      </c>
      <c r="C137" t="s">
        <v>2065</v>
      </c>
    </row>
    <row r="138" spans="1:3" ht="15" customHeight="1">
      <c r="A138" s="26" t="s">
        <v>2066</v>
      </c>
      <c r="B138" s="26" t="s">
        <v>138</v>
      </c>
      <c r="C138" t="s">
        <v>2067</v>
      </c>
    </row>
    <row r="139" spans="1:3" ht="15" customHeight="1">
      <c r="A139" s="26" t="s">
        <v>170</v>
      </c>
      <c r="B139" s="26" t="s">
        <v>138</v>
      </c>
      <c r="C139" t="s">
        <v>2068</v>
      </c>
    </row>
    <row r="140" spans="1:3" ht="15" customHeight="1">
      <c r="A140" s="26" t="s">
        <v>2069</v>
      </c>
      <c r="B140" s="26" t="s">
        <v>138</v>
      </c>
      <c r="C140" t="s">
        <v>2070</v>
      </c>
    </row>
    <row r="141" spans="1:3" ht="15" customHeight="1">
      <c r="A141" s="26" t="s">
        <v>2071</v>
      </c>
      <c r="B141" s="26" t="s">
        <v>138</v>
      </c>
      <c r="C141" t="s">
        <v>2072</v>
      </c>
    </row>
    <row r="142" spans="1:3" ht="15" customHeight="1">
      <c r="A142" s="26" t="s">
        <v>2073</v>
      </c>
      <c r="B142" s="26" t="s">
        <v>138</v>
      </c>
      <c r="C142" t="s">
        <v>2074</v>
      </c>
    </row>
    <row r="143" spans="1:3" ht="15" customHeight="1">
      <c r="A143" s="26" t="s">
        <v>2075</v>
      </c>
      <c r="B143" s="26" t="s">
        <v>138</v>
      </c>
      <c r="C143" t="s">
        <v>2076</v>
      </c>
    </row>
    <row r="144" spans="1:3" ht="15" customHeight="1">
      <c r="A144" s="26" t="s">
        <v>176</v>
      </c>
      <c r="B144" s="26" t="s">
        <v>138</v>
      </c>
      <c r="C144" t="s">
        <v>2077</v>
      </c>
    </row>
    <row r="145" spans="1:3" ht="15" customHeight="1">
      <c r="A145" s="26" t="s">
        <v>2078</v>
      </c>
      <c r="B145" s="26" t="s">
        <v>138</v>
      </c>
      <c r="C145" t="s">
        <v>2079</v>
      </c>
    </row>
    <row r="146" spans="1:3" ht="15" customHeight="1">
      <c r="A146" s="26" t="s">
        <v>2080</v>
      </c>
      <c r="B146" s="26" t="s">
        <v>138</v>
      </c>
      <c r="C146" t="s">
        <v>2081</v>
      </c>
    </row>
    <row r="147" spans="1:3" ht="15" customHeight="1">
      <c r="A147" s="26" t="s">
        <v>2082</v>
      </c>
      <c r="B147" s="26" t="s">
        <v>138</v>
      </c>
      <c r="C147" t="s">
        <v>2083</v>
      </c>
    </row>
    <row r="148" spans="1:3" ht="15" customHeight="1">
      <c r="A148" s="26" t="s">
        <v>2084</v>
      </c>
      <c r="B148" s="26" t="s">
        <v>138</v>
      </c>
      <c r="C148" t="s">
        <v>2085</v>
      </c>
    </row>
    <row r="149" spans="1:3" ht="15" customHeight="1">
      <c r="A149" s="26" t="s">
        <v>182</v>
      </c>
      <c r="B149" s="26" t="s">
        <v>138</v>
      </c>
      <c r="C149" t="s">
        <v>2086</v>
      </c>
    </row>
    <row r="150" spans="1:3" ht="15" customHeight="1">
      <c r="A150" s="26" t="s">
        <v>2087</v>
      </c>
      <c r="B150" s="26" t="s">
        <v>138</v>
      </c>
      <c r="C150" t="s">
        <v>2088</v>
      </c>
    </row>
    <row r="151" spans="1:3" ht="15" customHeight="1">
      <c r="A151" s="26" t="s">
        <v>2089</v>
      </c>
      <c r="B151" s="26" t="s">
        <v>138</v>
      </c>
      <c r="C151" t="s">
        <v>2090</v>
      </c>
    </row>
    <row r="152" spans="1:3" ht="15" customHeight="1">
      <c r="A152" s="26" t="s">
        <v>2091</v>
      </c>
      <c r="B152" s="26" t="s">
        <v>187</v>
      </c>
      <c r="C152" t="s">
        <v>2092</v>
      </c>
    </row>
    <row r="153" spans="1:3" ht="15" customHeight="1">
      <c r="A153" s="26" t="s">
        <v>2093</v>
      </c>
      <c r="B153" s="26" t="s">
        <v>187</v>
      </c>
      <c r="C153" t="s">
        <v>2094</v>
      </c>
    </row>
    <row r="154" spans="1:3" ht="15" customHeight="1">
      <c r="A154" s="26" t="s">
        <v>2095</v>
      </c>
      <c r="B154" s="26" t="s">
        <v>187</v>
      </c>
      <c r="C154" t="s">
        <v>2096</v>
      </c>
    </row>
    <row r="155" spans="1:3" ht="15" customHeight="1">
      <c r="A155" s="26" t="s">
        <v>2097</v>
      </c>
      <c r="B155" s="26" t="s">
        <v>187</v>
      </c>
      <c r="C155" t="s">
        <v>2098</v>
      </c>
    </row>
    <row r="156" spans="1:3" ht="15" customHeight="1">
      <c r="A156" s="26" t="s">
        <v>2099</v>
      </c>
      <c r="B156" s="26" t="s">
        <v>187</v>
      </c>
      <c r="C156" t="s">
        <v>2100</v>
      </c>
    </row>
    <row r="157" spans="1:3" ht="15" customHeight="1">
      <c r="A157" s="26" t="s">
        <v>2101</v>
      </c>
      <c r="B157" s="26" t="s">
        <v>187</v>
      </c>
      <c r="C157" t="s">
        <v>2102</v>
      </c>
    </row>
    <row r="158" spans="1:3" ht="15" customHeight="1">
      <c r="A158" s="26" t="s">
        <v>2103</v>
      </c>
      <c r="B158" s="26" t="s">
        <v>187</v>
      </c>
      <c r="C158" t="s">
        <v>2104</v>
      </c>
    </row>
    <row r="159" spans="1:3" ht="15" customHeight="1">
      <c r="A159" s="26" t="s">
        <v>2105</v>
      </c>
      <c r="B159" s="26" t="s">
        <v>187</v>
      </c>
      <c r="C159" t="s">
        <v>2106</v>
      </c>
    </row>
    <row r="160" spans="1:3" ht="15" customHeight="1">
      <c r="A160" s="26" t="s">
        <v>1833</v>
      </c>
      <c r="B160" s="26" t="s">
        <v>187</v>
      </c>
      <c r="C160" t="s">
        <v>2107</v>
      </c>
    </row>
    <row r="161" spans="1:3" ht="15" customHeight="1">
      <c r="A161" s="26" t="s">
        <v>1835</v>
      </c>
      <c r="B161" s="26" t="s">
        <v>187</v>
      </c>
      <c r="C161" t="s">
        <v>2108</v>
      </c>
    </row>
    <row r="162" spans="1:3" ht="15" customHeight="1">
      <c r="A162" s="26" t="s">
        <v>1837</v>
      </c>
      <c r="B162" s="26" t="s">
        <v>187</v>
      </c>
      <c r="C162" t="s">
        <v>2109</v>
      </c>
    </row>
    <row r="163" spans="1:3" ht="15" customHeight="1">
      <c r="A163" s="26" t="s">
        <v>1839</v>
      </c>
      <c r="B163" s="26" t="s">
        <v>187</v>
      </c>
      <c r="C163" t="s">
        <v>2110</v>
      </c>
    </row>
    <row r="164" spans="1:3" ht="15" customHeight="1">
      <c r="A164" s="26" t="s">
        <v>1841</v>
      </c>
      <c r="B164" s="26" t="s">
        <v>187</v>
      </c>
      <c r="C164" t="s">
        <v>2111</v>
      </c>
    </row>
    <row r="165" spans="1:3" ht="15" customHeight="1">
      <c r="A165" s="26" t="s">
        <v>1843</v>
      </c>
      <c r="B165" s="26" t="s">
        <v>187</v>
      </c>
      <c r="C165" t="s">
        <v>2112</v>
      </c>
    </row>
    <row r="166" spans="1:3" ht="15" customHeight="1">
      <c r="A166" s="26" t="s">
        <v>1853</v>
      </c>
      <c r="B166" s="26" t="s">
        <v>187</v>
      </c>
      <c r="C166" t="s">
        <v>2113</v>
      </c>
    </row>
    <row r="167" spans="1:3" ht="15" customHeight="1">
      <c r="A167" s="26" t="s">
        <v>1855</v>
      </c>
      <c r="B167" s="26" t="s">
        <v>187</v>
      </c>
      <c r="C167" t="s">
        <v>2114</v>
      </c>
    </row>
    <row r="168" spans="1:3" ht="15" customHeight="1">
      <c r="A168" s="26" t="s">
        <v>1857</v>
      </c>
      <c r="B168" s="26" t="s">
        <v>187</v>
      </c>
      <c r="C168" t="s">
        <v>2115</v>
      </c>
    </row>
    <row r="169" spans="1:3" ht="15" customHeight="1">
      <c r="A169" s="26" t="s">
        <v>1859</v>
      </c>
      <c r="B169" s="26" t="s">
        <v>187</v>
      </c>
      <c r="C169" t="s">
        <v>2116</v>
      </c>
    </row>
    <row r="170" spans="1:3" ht="15" customHeight="1">
      <c r="A170" s="26" t="s">
        <v>1845</v>
      </c>
      <c r="B170" s="26" t="s">
        <v>187</v>
      </c>
      <c r="C170" t="s">
        <v>2117</v>
      </c>
    </row>
    <row r="171" spans="1:3" ht="15" customHeight="1">
      <c r="A171" s="26" t="s">
        <v>1847</v>
      </c>
      <c r="B171" s="26" t="s">
        <v>187</v>
      </c>
      <c r="C171" t="s">
        <v>2118</v>
      </c>
    </row>
    <row r="172" spans="1:3" ht="15" customHeight="1">
      <c r="A172" s="26" t="s">
        <v>1849</v>
      </c>
      <c r="B172" s="26" t="s">
        <v>187</v>
      </c>
      <c r="C172" t="s">
        <v>2119</v>
      </c>
    </row>
    <row r="173" spans="1:3" ht="15" customHeight="1">
      <c r="A173" s="26" t="s">
        <v>1851</v>
      </c>
      <c r="B173" s="26" t="s">
        <v>187</v>
      </c>
      <c r="C173" t="s">
        <v>2120</v>
      </c>
    </row>
    <row r="174" spans="1:3" ht="15" customHeight="1">
      <c r="A174" s="26" t="s">
        <v>2121</v>
      </c>
      <c r="B174" s="26" t="s">
        <v>187</v>
      </c>
      <c r="C174" t="s">
        <v>2122</v>
      </c>
    </row>
    <row r="175" spans="1:3" ht="15" customHeight="1">
      <c r="A175" s="26" t="s">
        <v>2123</v>
      </c>
      <c r="B175" s="26" t="s">
        <v>187</v>
      </c>
      <c r="C175" t="s">
        <v>2124</v>
      </c>
    </row>
    <row r="176" spans="1:3" ht="15" customHeight="1">
      <c r="A176" s="26" t="s">
        <v>2125</v>
      </c>
      <c r="B176" s="26" t="s">
        <v>205</v>
      </c>
      <c r="C176" t="s">
        <v>2126</v>
      </c>
    </row>
    <row r="177" spans="1:3" ht="15" customHeight="1">
      <c r="A177" s="26" t="s">
        <v>2127</v>
      </c>
      <c r="B177" s="26" t="s">
        <v>205</v>
      </c>
      <c r="C177" t="s">
        <v>2128</v>
      </c>
    </row>
    <row r="178" spans="1:3" ht="15" customHeight="1">
      <c r="A178" s="26" t="s">
        <v>2129</v>
      </c>
      <c r="B178" s="26" t="s">
        <v>205</v>
      </c>
      <c r="C178" t="s">
        <v>2130</v>
      </c>
    </row>
    <row r="179" spans="1:3" ht="15" customHeight="1">
      <c r="A179" s="26" t="s">
        <v>2131</v>
      </c>
      <c r="B179" s="26" t="s">
        <v>205</v>
      </c>
      <c r="C179" t="s">
        <v>2132</v>
      </c>
    </row>
    <row r="180" spans="1:3" ht="15" customHeight="1">
      <c r="A180" s="26" t="s">
        <v>2133</v>
      </c>
      <c r="B180" s="26" t="s">
        <v>205</v>
      </c>
      <c r="C180" t="s">
        <v>2134</v>
      </c>
    </row>
    <row r="181" spans="1:3" ht="15" customHeight="1">
      <c r="A181" s="26" t="s">
        <v>2135</v>
      </c>
      <c r="B181" s="26" t="s">
        <v>205</v>
      </c>
      <c r="C181" t="s">
        <v>2136</v>
      </c>
    </row>
    <row r="182" spans="1:3" ht="15" customHeight="1">
      <c r="A182" s="26" t="s">
        <v>1901</v>
      </c>
      <c r="B182" s="26" t="s">
        <v>205</v>
      </c>
      <c r="C182" t="s">
        <v>2137</v>
      </c>
    </row>
    <row r="183" spans="1:3" ht="15" customHeight="1">
      <c r="A183" s="26" t="s">
        <v>1903</v>
      </c>
      <c r="B183" s="26" t="s">
        <v>205</v>
      </c>
      <c r="C183" t="s">
        <v>2138</v>
      </c>
    </row>
    <row r="184" spans="1:3" ht="15" customHeight="1">
      <c r="A184" s="26" t="s">
        <v>2139</v>
      </c>
      <c r="B184" s="26" t="s">
        <v>205</v>
      </c>
      <c r="C184" t="s">
        <v>2140</v>
      </c>
    </row>
    <row r="185" spans="1:3" ht="15" customHeight="1">
      <c r="A185" s="26" t="s">
        <v>2141</v>
      </c>
      <c r="B185" s="26" t="s">
        <v>205</v>
      </c>
      <c r="C185" t="s">
        <v>2142</v>
      </c>
    </row>
    <row r="186" spans="1:3" ht="15" customHeight="1">
      <c r="A186" s="26" t="s">
        <v>2143</v>
      </c>
      <c r="B186" s="26" t="s">
        <v>205</v>
      </c>
      <c r="C186" t="s">
        <v>2144</v>
      </c>
    </row>
    <row r="187" spans="1:3" ht="15" customHeight="1">
      <c r="A187" s="26" t="s">
        <v>2145</v>
      </c>
      <c r="B187" s="26" t="s">
        <v>205</v>
      </c>
      <c r="C187" t="s">
        <v>2146</v>
      </c>
    </row>
    <row r="188" spans="1:3" ht="15" customHeight="1">
      <c r="A188" s="26" t="s">
        <v>2147</v>
      </c>
      <c r="B188" s="26" t="s">
        <v>205</v>
      </c>
      <c r="C188" t="s">
        <v>2148</v>
      </c>
    </row>
    <row r="189" spans="1:3" ht="15" customHeight="1">
      <c r="A189" s="26" t="s">
        <v>2149</v>
      </c>
      <c r="B189" s="26" t="s">
        <v>205</v>
      </c>
      <c r="C189" t="s">
        <v>2150</v>
      </c>
    </row>
    <row r="190" spans="1:3" ht="15" customHeight="1">
      <c r="A190" s="26" t="s">
        <v>1877</v>
      </c>
      <c r="B190" s="26" t="s">
        <v>205</v>
      </c>
      <c r="C190" t="s">
        <v>2151</v>
      </c>
    </row>
    <row r="191" spans="1:3" ht="15" customHeight="1">
      <c r="A191" s="26" t="s">
        <v>1879</v>
      </c>
      <c r="B191" s="26" t="s">
        <v>205</v>
      </c>
      <c r="C191" t="s">
        <v>2152</v>
      </c>
    </row>
    <row r="192" spans="1:3" ht="15" customHeight="1">
      <c r="A192" s="26" t="s">
        <v>2153</v>
      </c>
      <c r="B192" s="26" t="s">
        <v>205</v>
      </c>
      <c r="C192" t="s">
        <v>2154</v>
      </c>
    </row>
    <row r="193" spans="1:3" ht="15" customHeight="1">
      <c r="A193" s="26" t="s">
        <v>2155</v>
      </c>
      <c r="B193" s="26" t="s">
        <v>205</v>
      </c>
      <c r="C193" t="s">
        <v>2156</v>
      </c>
    </row>
    <row r="194" spans="1:3" ht="15" customHeight="1">
      <c r="A194" s="26" t="s">
        <v>2157</v>
      </c>
      <c r="B194" s="26" t="s">
        <v>205</v>
      </c>
      <c r="C194" t="s">
        <v>2158</v>
      </c>
    </row>
    <row r="195" spans="1:3" ht="15" customHeight="1">
      <c r="A195" s="26" t="s">
        <v>2159</v>
      </c>
      <c r="B195" s="26" t="s">
        <v>205</v>
      </c>
      <c r="C195" t="s">
        <v>2160</v>
      </c>
    </row>
    <row r="196" spans="1:3" ht="15" customHeight="1">
      <c r="A196" s="26" t="s">
        <v>1897</v>
      </c>
      <c r="B196" s="26" t="s">
        <v>205</v>
      </c>
      <c r="C196" t="s">
        <v>2161</v>
      </c>
    </row>
    <row r="197" spans="1:3" ht="15" customHeight="1">
      <c r="A197" s="26" t="s">
        <v>1899</v>
      </c>
      <c r="B197" s="26" t="s">
        <v>205</v>
      </c>
      <c r="C197" t="s">
        <v>2162</v>
      </c>
    </row>
    <row r="198" spans="1:3" ht="15" customHeight="1">
      <c r="A198" s="26" t="s">
        <v>1881</v>
      </c>
      <c r="B198" s="26" t="s">
        <v>205</v>
      </c>
      <c r="C198" t="s">
        <v>2163</v>
      </c>
    </row>
    <row r="199" spans="1:3" ht="15" customHeight="1">
      <c r="A199" s="26" t="s">
        <v>1883</v>
      </c>
      <c r="B199" s="26" t="s">
        <v>205</v>
      </c>
      <c r="C199" t="s">
        <v>2164</v>
      </c>
    </row>
    <row r="200" spans="1:3" ht="15" customHeight="1">
      <c r="A200" s="26" t="s">
        <v>1885</v>
      </c>
      <c r="B200" s="26" t="s">
        <v>205</v>
      </c>
      <c r="C200" t="s">
        <v>2165</v>
      </c>
    </row>
    <row r="201" spans="1:3" ht="15" customHeight="1">
      <c r="A201" s="26" t="s">
        <v>1887</v>
      </c>
      <c r="B201" s="26" t="s">
        <v>205</v>
      </c>
      <c r="C201" t="s">
        <v>2166</v>
      </c>
    </row>
    <row r="202" spans="1:3" ht="15" customHeight="1">
      <c r="A202" s="26" t="s">
        <v>1889</v>
      </c>
      <c r="B202" s="26" t="s">
        <v>205</v>
      </c>
      <c r="C202" t="s">
        <v>2167</v>
      </c>
    </row>
    <row r="203" spans="1:3" ht="15" customHeight="1">
      <c r="A203" s="26" t="s">
        <v>1891</v>
      </c>
      <c r="B203" s="26" t="s">
        <v>205</v>
      </c>
      <c r="C203" t="s">
        <v>2168</v>
      </c>
    </row>
    <row r="204" spans="1:3" ht="15" customHeight="1">
      <c r="A204" s="26" t="s">
        <v>2169</v>
      </c>
      <c r="B204" s="26" t="s">
        <v>205</v>
      </c>
      <c r="C204" t="s">
        <v>2170</v>
      </c>
    </row>
    <row r="205" spans="1:3" ht="15" customHeight="1">
      <c r="A205" s="26" t="s">
        <v>2171</v>
      </c>
      <c r="B205" s="26" t="s">
        <v>205</v>
      </c>
      <c r="C205" t="s">
        <v>2172</v>
      </c>
    </row>
    <row r="206" spans="1:3" ht="15" customHeight="1">
      <c r="A206" s="26" t="s">
        <v>2173</v>
      </c>
      <c r="B206" s="26" t="s">
        <v>205</v>
      </c>
      <c r="C206" t="s">
        <v>2174</v>
      </c>
    </row>
    <row r="207" spans="1:3" ht="15" customHeight="1">
      <c r="A207" s="26" t="s">
        <v>2175</v>
      </c>
      <c r="B207" s="26" t="s">
        <v>205</v>
      </c>
      <c r="C207" t="s">
        <v>2176</v>
      </c>
    </row>
    <row r="208" spans="1:3" ht="15" customHeight="1">
      <c r="A208" s="26" t="s">
        <v>1893</v>
      </c>
      <c r="B208" s="26" t="s">
        <v>205</v>
      </c>
      <c r="C208" t="s">
        <v>2177</v>
      </c>
    </row>
    <row r="209" spans="1:3" ht="15" customHeight="1">
      <c r="A209" s="26" t="s">
        <v>1895</v>
      </c>
      <c r="B209" s="26" t="s">
        <v>205</v>
      </c>
      <c r="C209" t="s">
        <v>2178</v>
      </c>
    </row>
    <row r="210" spans="1:3" ht="15" customHeight="1">
      <c r="A210" s="26" t="s">
        <v>2179</v>
      </c>
      <c r="B210" s="26" t="s">
        <v>205</v>
      </c>
      <c r="C210" t="s">
        <v>2180</v>
      </c>
    </row>
    <row r="211" spans="1:3" ht="15" customHeight="1">
      <c r="A211" s="26" t="s">
        <v>2181</v>
      </c>
      <c r="B211" s="26" t="s">
        <v>205</v>
      </c>
      <c r="C211" t="s">
        <v>2182</v>
      </c>
    </row>
    <row r="212" spans="1:3" ht="15" customHeight="1">
      <c r="A212" s="26" t="s">
        <v>2183</v>
      </c>
      <c r="B212" s="26" t="s">
        <v>205</v>
      </c>
      <c r="C212" t="s">
        <v>2184</v>
      </c>
    </row>
    <row r="213" spans="1:3" ht="15" customHeight="1">
      <c r="A213" s="26" t="s">
        <v>2185</v>
      </c>
      <c r="B213" s="26" t="s">
        <v>205</v>
      </c>
      <c r="C213" t="s">
        <v>2186</v>
      </c>
    </row>
    <row r="214" spans="1:3" ht="15" customHeight="1">
      <c r="A214" s="26" t="s">
        <v>2187</v>
      </c>
      <c r="B214" s="26" t="s">
        <v>205</v>
      </c>
      <c r="C214" t="s">
        <v>2188</v>
      </c>
    </row>
    <row r="215" spans="1:3" ht="15" customHeight="1">
      <c r="A215" s="26" t="s">
        <v>2189</v>
      </c>
      <c r="B215" s="26" t="s">
        <v>205</v>
      </c>
      <c r="C215" t="s">
        <v>2190</v>
      </c>
    </row>
    <row r="216" spans="1:3" ht="15" customHeight="1">
      <c r="A216" s="26" t="s">
        <v>238</v>
      </c>
      <c r="B216" s="26" t="s">
        <v>239</v>
      </c>
      <c r="C216" t="s">
        <v>2191</v>
      </c>
    </row>
    <row r="217" spans="1:3" ht="15" customHeight="1">
      <c r="A217" s="26" t="s">
        <v>241</v>
      </c>
      <c r="B217" s="26" t="s">
        <v>239</v>
      </c>
      <c r="C217" t="s">
        <v>2192</v>
      </c>
    </row>
    <row r="218" spans="1:3" ht="15" customHeight="1">
      <c r="A218" s="26" t="s">
        <v>243</v>
      </c>
      <c r="B218" s="26" t="s">
        <v>239</v>
      </c>
      <c r="C218" t="s">
        <v>2193</v>
      </c>
    </row>
    <row r="219" spans="1:3" ht="15" customHeight="1">
      <c r="A219" s="26" t="s">
        <v>245</v>
      </c>
      <c r="B219" s="26" t="s">
        <v>239</v>
      </c>
      <c r="C219" t="s">
        <v>2194</v>
      </c>
    </row>
    <row r="220" spans="1:3" ht="15" customHeight="1">
      <c r="A220" s="26" t="s">
        <v>247</v>
      </c>
      <c r="B220" s="26" t="s">
        <v>239</v>
      </c>
      <c r="C220" t="s">
        <v>2195</v>
      </c>
    </row>
    <row r="221" spans="1:3" ht="15" customHeight="1">
      <c r="A221" s="26" t="s">
        <v>249</v>
      </c>
      <c r="B221" s="26" t="s">
        <v>239</v>
      </c>
      <c r="C221" t="s">
        <v>2196</v>
      </c>
    </row>
    <row r="222" spans="1:3" ht="15" customHeight="1">
      <c r="A222" s="26" t="s">
        <v>251</v>
      </c>
      <c r="B222" s="26" t="s">
        <v>239</v>
      </c>
      <c r="C222" t="s">
        <v>2197</v>
      </c>
    </row>
    <row r="223" spans="1:3" ht="15" customHeight="1">
      <c r="A223" s="26" t="s">
        <v>253</v>
      </c>
      <c r="B223" s="26" t="s">
        <v>239</v>
      </c>
      <c r="C223" t="s">
        <v>2198</v>
      </c>
    </row>
    <row r="224" spans="1:3" ht="15" customHeight="1">
      <c r="A224" s="26" t="s">
        <v>255</v>
      </c>
      <c r="B224" s="26" t="s">
        <v>239</v>
      </c>
      <c r="C224" t="s">
        <v>2199</v>
      </c>
    </row>
    <row r="225" spans="1:3" ht="15" customHeight="1">
      <c r="A225" s="26" t="s">
        <v>257</v>
      </c>
      <c r="B225" s="26" t="s">
        <v>239</v>
      </c>
      <c r="C225" t="s">
        <v>2200</v>
      </c>
    </row>
    <row r="226" spans="1:3" ht="15" customHeight="1">
      <c r="A226" s="26" t="s">
        <v>259</v>
      </c>
      <c r="B226" s="26" t="s">
        <v>239</v>
      </c>
      <c r="C226" t="s">
        <v>2201</v>
      </c>
    </row>
    <row r="227" spans="1:3" ht="15" customHeight="1">
      <c r="A227" s="26" t="s">
        <v>261</v>
      </c>
      <c r="B227" s="26" t="s">
        <v>239</v>
      </c>
      <c r="C227" t="s">
        <v>2202</v>
      </c>
    </row>
    <row r="228" spans="1:3" ht="15" customHeight="1">
      <c r="A228" s="26" t="s">
        <v>263</v>
      </c>
      <c r="B228" s="26" t="s">
        <v>264</v>
      </c>
      <c r="C228" t="s">
        <v>2203</v>
      </c>
    </row>
    <row r="229" spans="1:3" ht="15" customHeight="1">
      <c r="A229" s="26" t="s">
        <v>266</v>
      </c>
      <c r="B229" s="26" t="s">
        <v>264</v>
      </c>
      <c r="C229" t="s">
        <v>2204</v>
      </c>
    </row>
    <row r="230" spans="1:3" ht="15" customHeight="1">
      <c r="A230" s="26" t="s">
        <v>2205</v>
      </c>
      <c r="B230" s="26" t="s">
        <v>264</v>
      </c>
      <c r="C230" t="s">
        <v>2206</v>
      </c>
    </row>
    <row r="231" spans="1:3" ht="15" customHeight="1">
      <c r="A231" s="26" t="s">
        <v>270</v>
      </c>
      <c r="B231" s="26" t="s">
        <v>264</v>
      </c>
      <c r="C231" t="s">
        <v>2207</v>
      </c>
    </row>
    <row r="232" spans="1:3" ht="15" customHeight="1">
      <c r="A232" s="26" t="s">
        <v>272</v>
      </c>
      <c r="B232" s="26" t="s">
        <v>264</v>
      </c>
      <c r="C232" t="s">
        <v>2208</v>
      </c>
    </row>
    <row r="233" spans="1:3" ht="15" customHeight="1">
      <c r="A233" s="26" t="s">
        <v>274</v>
      </c>
      <c r="B233" s="26" t="s">
        <v>264</v>
      </c>
      <c r="C233" t="s">
        <v>2209</v>
      </c>
    </row>
    <row r="234" spans="1:3" ht="15" customHeight="1">
      <c r="A234" s="26" t="s">
        <v>276</v>
      </c>
      <c r="B234" s="26" t="s">
        <v>264</v>
      </c>
      <c r="C234" t="s">
        <v>2210</v>
      </c>
    </row>
    <row r="235" spans="1:3" ht="15" customHeight="1">
      <c r="A235" s="26" t="s">
        <v>278</v>
      </c>
      <c r="B235" s="26" t="s">
        <v>264</v>
      </c>
      <c r="C235" t="s">
        <v>2211</v>
      </c>
    </row>
    <row r="236" spans="1:3" ht="15" customHeight="1">
      <c r="A236" s="26" t="s">
        <v>280</v>
      </c>
      <c r="B236" s="26" t="s">
        <v>264</v>
      </c>
      <c r="C236" t="s">
        <v>2212</v>
      </c>
    </row>
    <row r="237" spans="1:3" ht="15" customHeight="1">
      <c r="A237" s="26" t="s">
        <v>282</v>
      </c>
      <c r="B237" s="26" t="s">
        <v>264</v>
      </c>
      <c r="C237" t="s">
        <v>2213</v>
      </c>
    </row>
    <row r="238" spans="1:3" ht="15" customHeight="1">
      <c r="A238" s="26" t="s">
        <v>284</v>
      </c>
      <c r="B238" s="26" t="s">
        <v>264</v>
      </c>
      <c r="C238" t="s">
        <v>2214</v>
      </c>
    </row>
    <row r="239" spans="1:3" ht="15" customHeight="1">
      <c r="A239" s="26" t="s">
        <v>286</v>
      </c>
      <c r="B239" s="26" t="s">
        <v>264</v>
      </c>
      <c r="C239" t="s">
        <v>2215</v>
      </c>
    </row>
    <row r="240" spans="1:3" ht="15" customHeight="1">
      <c r="A240" s="26" t="s">
        <v>288</v>
      </c>
      <c r="B240" s="26" t="s">
        <v>264</v>
      </c>
      <c r="C240" t="s">
        <v>2216</v>
      </c>
    </row>
    <row r="241" spans="1:3" ht="15" customHeight="1">
      <c r="A241" s="26" t="s">
        <v>290</v>
      </c>
      <c r="B241" s="26" t="s">
        <v>264</v>
      </c>
      <c r="C241" t="s">
        <v>2217</v>
      </c>
    </row>
    <row r="242" spans="1:3" ht="15" customHeight="1">
      <c r="A242" s="26" t="s">
        <v>292</v>
      </c>
      <c r="B242" s="26" t="s">
        <v>264</v>
      </c>
      <c r="C242" t="s">
        <v>2218</v>
      </c>
    </row>
    <row r="243" spans="1:3" ht="15" customHeight="1">
      <c r="A243" s="26" t="s">
        <v>294</v>
      </c>
      <c r="B243" s="26" t="s">
        <v>264</v>
      </c>
      <c r="C243" t="s">
        <v>2219</v>
      </c>
    </row>
    <row r="244" spans="1:3" ht="15" customHeight="1">
      <c r="A244" s="26" t="s">
        <v>296</v>
      </c>
      <c r="B244" s="26" t="s">
        <v>264</v>
      </c>
      <c r="C244" t="s">
        <v>2220</v>
      </c>
    </row>
    <row r="245" spans="1:3" ht="15" customHeight="1">
      <c r="A245" s="26" t="s">
        <v>298</v>
      </c>
      <c r="B245" s="26" t="s">
        <v>299</v>
      </c>
      <c r="C245" t="s">
        <v>2221</v>
      </c>
    </row>
    <row r="246" spans="1:3" ht="15" customHeight="1">
      <c r="A246" s="26" t="s">
        <v>301</v>
      </c>
      <c r="B246" s="26" t="s">
        <v>299</v>
      </c>
      <c r="C246" t="s">
        <v>2222</v>
      </c>
    </row>
    <row r="247" spans="1:3" ht="15" customHeight="1">
      <c r="A247" s="26" t="s">
        <v>303</v>
      </c>
      <c r="B247" s="26" t="s">
        <v>299</v>
      </c>
      <c r="C247" t="s">
        <v>2223</v>
      </c>
    </row>
    <row r="248" spans="1:3" ht="15" customHeight="1">
      <c r="A248" s="26" t="s">
        <v>305</v>
      </c>
      <c r="B248" s="26" t="s">
        <v>299</v>
      </c>
      <c r="C248" t="s">
        <v>2224</v>
      </c>
    </row>
    <row r="249" spans="1:3" ht="15" customHeight="1">
      <c r="A249" s="26" t="s">
        <v>307</v>
      </c>
      <c r="B249" s="26" t="s">
        <v>299</v>
      </c>
      <c r="C249" t="s">
        <v>2225</v>
      </c>
    </row>
    <row r="250" spans="1:3" ht="15" customHeight="1">
      <c r="A250" s="26" t="s">
        <v>309</v>
      </c>
      <c r="B250" s="26" t="s">
        <v>299</v>
      </c>
      <c r="C250" t="s">
        <v>2226</v>
      </c>
    </row>
    <row r="251" spans="1:3" ht="15" customHeight="1">
      <c r="A251" s="26" t="s">
        <v>311</v>
      </c>
      <c r="B251" s="26" t="s">
        <v>299</v>
      </c>
      <c r="C251" t="s">
        <v>2227</v>
      </c>
    </row>
    <row r="252" spans="1:3" ht="15" customHeight="1">
      <c r="A252" s="26" t="s">
        <v>313</v>
      </c>
      <c r="B252" s="26" t="s">
        <v>299</v>
      </c>
      <c r="C252" t="s">
        <v>2228</v>
      </c>
    </row>
    <row r="253" spans="1:3" ht="15" customHeight="1">
      <c r="A253" s="26" t="s">
        <v>315</v>
      </c>
      <c r="B253" s="26" t="s">
        <v>299</v>
      </c>
      <c r="C253" t="s">
        <v>2229</v>
      </c>
    </row>
    <row r="254" spans="1:3" ht="15" customHeight="1">
      <c r="A254" s="26" t="s">
        <v>317</v>
      </c>
      <c r="B254" s="26" t="s">
        <v>299</v>
      </c>
      <c r="C254" t="s">
        <v>2230</v>
      </c>
    </row>
    <row r="255" spans="1:3" ht="15" customHeight="1">
      <c r="A255" s="26" t="s">
        <v>319</v>
      </c>
      <c r="B255" s="26" t="s">
        <v>320</v>
      </c>
      <c r="C255" t="s">
        <v>2231</v>
      </c>
    </row>
    <row r="256" spans="1:3" ht="15" customHeight="1">
      <c r="A256" s="26" t="s">
        <v>322</v>
      </c>
      <c r="B256" s="26" t="s">
        <v>320</v>
      </c>
      <c r="C256" t="s">
        <v>2232</v>
      </c>
    </row>
    <row r="257" spans="1:3" ht="15" customHeight="1">
      <c r="A257" s="26" t="s">
        <v>324</v>
      </c>
      <c r="B257" s="26" t="s">
        <v>320</v>
      </c>
      <c r="C257" t="s">
        <v>2233</v>
      </c>
    </row>
    <row r="258" spans="1:3" ht="15" customHeight="1">
      <c r="A258" s="26" t="s">
        <v>326</v>
      </c>
      <c r="B258" s="26" t="s">
        <v>320</v>
      </c>
      <c r="C258" t="s">
        <v>2234</v>
      </c>
    </row>
    <row r="259" spans="1:3" ht="15" customHeight="1">
      <c r="A259" s="26" t="s">
        <v>328</v>
      </c>
      <c r="B259" s="26" t="s">
        <v>320</v>
      </c>
      <c r="C259" t="s">
        <v>2235</v>
      </c>
    </row>
    <row r="260" spans="1:3" ht="15" customHeight="1">
      <c r="A260" s="26" t="s">
        <v>330</v>
      </c>
      <c r="B260" s="26" t="s">
        <v>320</v>
      </c>
      <c r="C260" t="s">
        <v>2236</v>
      </c>
    </row>
    <row r="261" spans="1:3" ht="15" customHeight="1">
      <c r="A261" s="26" t="s">
        <v>332</v>
      </c>
      <c r="B261" s="26" t="s">
        <v>320</v>
      </c>
      <c r="C261" t="s">
        <v>2237</v>
      </c>
    </row>
    <row r="262" spans="1:3" ht="15" customHeight="1">
      <c r="A262" s="26" t="s">
        <v>334</v>
      </c>
      <c r="B262" s="26" t="s">
        <v>320</v>
      </c>
      <c r="C262" t="s">
        <v>2238</v>
      </c>
    </row>
    <row r="263" spans="1:3" ht="15" customHeight="1">
      <c r="A263" s="26" t="s">
        <v>336</v>
      </c>
      <c r="B263" s="26" t="s">
        <v>320</v>
      </c>
      <c r="C263" t="s">
        <v>2239</v>
      </c>
    </row>
    <row r="264" spans="1:3" ht="15" customHeight="1">
      <c r="A264" s="26" t="s">
        <v>338</v>
      </c>
      <c r="B264" s="26" t="s">
        <v>339</v>
      </c>
      <c r="C264" t="s">
        <v>2240</v>
      </c>
    </row>
    <row r="265" spans="1:3" ht="15" customHeight="1">
      <c r="A265" s="26" t="s">
        <v>341</v>
      </c>
      <c r="B265" s="26" t="s">
        <v>339</v>
      </c>
      <c r="C265" t="s">
        <v>2241</v>
      </c>
    </row>
    <row r="266" spans="1:3" ht="15" customHeight="1">
      <c r="A266" s="26" t="s">
        <v>343</v>
      </c>
      <c r="B266" s="26" t="s">
        <v>339</v>
      </c>
      <c r="C266" t="s">
        <v>2242</v>
      </c>
    </row>
    <row r="267" spans="1:3" ht="15" customHeight="1">
      <c r="A267" s="26" t="s">
        <v>345</v>
      </c>
      <c r="B267" s="26" t="s">
        <v>339</v>
      </c>
      <c r="C267" t="s">
        <v>2243</v>
      </c>
    </row>
    <row r="268" spans="1:3" ht="15" customHeight="1">
      <c r="A268" s="26" t="s">
        <v>347</v>
      </c>
      <c r="B268" s="26" t="s">
        <v>339</v>
      </c>
      <c r="C268" t="s">
        <v>2244</v>
      </c>
    </row>
    <row r="269" spans="1:3" ht="15" customHeight="1">
      <c r="A269" s="26" t="s">
        <v>349</v>
      </c>
      <c r="B269" s="26" t="s">
        <v>339</v>
      </c>
      <c r="C269" t="s">
        <v>2245</v>
      </c>
    </row>
    <row r="270" spans="1:3" ht="15" customHeight="1">
      <c r="A270" s="26" t="s">
        <v>351</v>
      </c>
      <c r="B270" s="26" t="s">
        <v>339</v>
      </c>
      <c r="C270" t="s">
        <v>2246</v>
      </c>
    </row>
    <row r="271" spans="1:3" ht="15" customHeight="1">
      <c r="A271" s="26" t="s">
        <v>353</v>
      </c>
      <c r="B271" s="26" t="s">
        <v>339</v>
      </c>
      <c r="C271" t="s">
        <v>2247</v>
      </c>
    </row>
    <row r="272" spans="1:3" ht="15" customHeight="1">
      <c r="A272" s="26" t="s">
        <v>355</v>
      </c>
      <c r="B272" s="26" t="s">
        <v>339</v>
      </c>
      <c r="C272" t="s">
        <v>2248</v>
      </c>
    </row>
    <row r="273" spans="1:3" ht="15" customHeight="1">
      <c r="A273" s="26" t="s">
        <v>357</v>
      </c>
      <c r="B273" s="26" t="s">
        <v>339</v>
      </c>
      <c r="C273" t="s">
        <v>2249</v>
      </c>
    </row>
    <row r="274" spans="1:3" ht="15" customHeight="1">
      <c r="A274" s="26" t="s">
        <v>359</v>
      </c>
      <c r="B274" s="26" t="s">
        <v>360</v>
      </c>
      <c r="C274" t="s">
        <v>2250</v>
      </c>
    </row>
    <row r="275" spans="1:3" ht="15" customHeight="1">
      <c r="A275" s="26" t="s">
        <v>362</v>
      </c>
      <c r="B275" s="26" t="s">
        <v>360</v>
      </c>
      <c r="C275" t="s">
        <v>2251</v>
      </c>
    </row>
    <row r="276" spans="1:3" ht="15" customHeight="1">
      <c r="A276" s="26" t="s">
        <v>364</v>
      </c>
      <c r="B276" s="26" t="s">
        <v>360</v>
      </c>
      <c r="C276" t="s">
        <v>2252</v>
      </c>
    </row>
    <row r="277" spans="1:3" ht="15" customHeight="1">
      <c r="A277" s="26" t="s">
        <v>366</v>
      </c>
      <c r="B277" s="26" t="s">
        <v>360</v>
      </c>
      <c r="C277" t="s">
        <v>2253</v>
      </c>
    </row>
    <row r="278" spans="1:3" ht="15" customHeight="1">
      <c r="A278" s="26" t="s">
        <v>368</v>
      </c>
      <c r="B278" s="26" t="s">
        <v>360</v>
      </c>
      <c r="C278" t="s">
        <v>2254</v>
      </c>
    </row>
    <row r="279" spans="1:3" ht="15" customHeight="1">
      <c r="A279" s="26" t="s">
        <v>370</v>
      </c>
      <c r="B279" s="26" t="s">
        <v>360</v>
      </c>
      <c r="C279" t="s">
        <v>2255</v>
      </c>
    </row>
    <row r="280" spans="1:3" ht="15" customHeight="1">
      <c r="A280" s="26" t="s">
        <v>372</v>
      </c>
      <c r="B280" s="26" t="s">
        <v>360</v>
      </c>
      <c r="C280" t="s">
        <v>2256</v>
      </c>
    </row>
    <row r="281" spans="1:3" ht="15" customHeight="1">
      <c r="A281" s="26" t="s">
        <v>374</v>
      </c>
      <c r="B281" s="26" t="s">
        <v>360</v>
      </c>
      <c r="C281" t="s">
        <v>2257</v>
      </c>
    </row>
    <row r="282" spans="1:3" ht="15" customHeight="1">
      <c r="A282" s="26" t="s">
        <v>376</v>
      </c>
      <c r="B282" s="26" t="s">
        <v>360</v>
      </c>
      <c r="C282" t="s">
        <v>2258</v>
      </c>
    </row>
    <row r="283" spans="1:3" ht="15" customHeight="1">
      <c r="A283" s="26" t="s">
        <v>2259</v>
      </c>
      <c r="B283" s="26" t="s">
        <v>138</v>
      </c>
      <c r="C283" t="s">
        <v>2260</v>
      </c>
    </row>
    <row r="284" spans="1:3" ht="15" customHeight="1">
      <c r="A284" s="26" t="s">
        <v>2261</v>
      </c>
      <c r="B284" s="26" t="s">
        <v>138</v>
      </c>
      <c r="C284" t="s">
        <v>2262</v>
      </c>
    </row>
    <row r="285" spans="1:3" ht="15" customHeight="1">
      <c r="A285" s="26" t="s">
        <v>380</v>
      </c>
      <c r="B285" s="26" t="s">
        <v>138</v>
      </c>
      <c r="C285" t="s">
        <v>2263</v>
      </c>
    </row>
    <row r="286" spans="1:3" ht="15" customHeight="1">
      <c r="A286" s="26" t="s">
        <v>382</v>
      </c>
      <c r="B286" s="26" t="s">
        <v>138</v>
      </c>
      <c r="C286" t="s">
        <v>2264</v>
      </c>
    </row>
    <row r="287" spans="1:3" ht="15" customHeight="1">
      <c r="A287" s="26" t="s">
        <v>384</v>
      </c>
      <c r="B287" s="26" t="s">
        <v>138</v>
      </c>
      <c r="C287" t="s">
        <v>2265</v>
      </c>
    </row>
    <row r="288" spans="1:3" ht="15" customHeight="1">
      <c r="A288" s="26" t="s">
        <v>2266</v>
      </c>
      <c r="B288" s="26" t="s">
        <v>138</v>
      </c>
      <c r="C288" t="s">
        <v>2267</v>
      </c>
    </row>
    <row r="289" spans="1:3" ht="15" customHeight="1">
      <c r="A289" s="26" t="s">
        <v>2268</v>
      </c>
      <c r="B289" s="26" t="s">
        <v>138</v>
      </c>
      <c r="C289" t="s">
        <v>2269</v>
      </c>
    </row>
    <row r="290" spans="1:3" ht="15" customHeight="1">
      <c r="A290" s="26" t="s">
        <v>388</v>
      </c>
      <c r="B290" s="26" t="s">
        <v>138</v>
      </c>
      <c r="C290" t="s">
        <v>2270</v>
      </c>
    </row>
    <row r="291" spans="1:3" ht="15" customHeight="1">
      <c r="A291" s="26" t="s">
        <v>390</v>
      </c>
      <c r="B291" s="26" t="s">
        <v>138</v>
      </c>
      <c r="C291" t="s">
        <v>2271</v>
      </c>
    </row>
    <row r="292" spans="1:3" ht="15" customHeight="1">
      <c r="A292" s="26" t="s">
        <v>392</v>
      </c>
      <c r="B292" s="26" t="s">
        <v>138</v>
      </c>
      <c r="C292" t="s">
        <v>2272</v>
      </c>
    </row>
    <row r="293" spans="1:3" ht="15" customHeight="1">
      <c r="A293" s="26" t="s">
        <v>2039</v>
      </c>
      <c r="B293" s="26" t="s">
        <v>138</v>
      </c>
      <c r="C293" t="s">
        <v>2273</v>
      </c>
    </row>
    <row r="294" spans="1:3" ht="15" customHeight="1">
      <c r="A294" s="26" t="s">
        <v>2037</v>
      </c>
      <c r="B294" s="26" t="s">
        <v>138</v>
      </c>
      <c r="C294" t="s">
        <v>2274</v>
      </c>
    </row>
    <row r="295" spans="1:3" ht="15" customHeight="1">
      <c r="A295" s="26" t="s">
        <v>152</v>
      </c>
      <c r="B295" s="26" t="s">
        <v>138</v>
      </c>
      <c r="C295" t="s">
        <v>2275</v>
      </c>
    </row>
    <row r="296" spans="1:3" ht="15" customHeight="1">
      <c r="A296" s="26" t="s">
        <v>397</v>
      </c>
      <c r="B296" s="26" t="s">
        <v>138</v>
      </c>
      <c r="C296" t="s">
        <v>2276</v>
      </c>
    </row>
    <row r="297" spans="1:3" ht="15" customHeight="1">
      <c r="A297" s="26" t="s">
        <v>399</v>
      </c>
      <c r="B297" s="26" t="s">
        <v>138</v>
      </c>
      <c r="C297" t="s">
        <v>2277</v>
      </c>
    </row>
    <row r="298" spans="1:3" ht="15" customHeight="1">
      <c r="A298" s="26" t="s">
        <v>401</v>
      </c>
      <c r="B298" s="26" t="s">
        <v>138</v>
      </c>
      <c r="C298" t="s">
        <v>402</v>
      </c>
    </row>
    <row r="299" spans="1:3" ht="15" customHeight="1">
      <c r="A299" s="26" t="s">
        <v>403</v>
      </c>
      <c r="B299" s="26" t="s">
        <v>138</v>
      </c>
      <c r="C299" t="s">
        <v>404</v>
      </c>
    </row>
    <row r="300" spans="1:3" ht="15" customHeight="1">
      <c r="A300" s="26" t="s">
        <v>405</v>
      </c>
      <c r="B300" s="26" t="s">
        <v>138</v>
      </c>
      <c r="C300" t="s">
        <v>406</v>
      </c>
    </row>
    <row r="301" spans="1:3" ht="15" customHeight="1">
      <c r="A301" s="26" t="s">
        <v>407</v>
      </c>
      <c r="B301" s="26" t="s">
        <v>138</v>
      </c>
      <c r="C301" t="s">
        <v>408</v>
      </c>
    </row>
    <row r="302" spans="1:3" ht="15" customHeight="1">
      <c r="A302" s="26" t="s">
        <v>409</v>
      </c>
      <c r="B302" s="26" t="s">
        <v>138</v>
      </c>
      <c r="C302" t="s">
        <v>410</v>
      </c>
    </row>
    <row r="303" spans="1:3" ht="15" customHeight="1">
      <c r="A303" s="26" t="s">
        <v>411</v>
      </c>
      <c r="B303" s="26" t="s">
        <v>138</v>
      </c>
      <c r="C303" t="s">
        <v>412</v>
      </c>
    </row>
    <row r="304" spans="1:3" ht="15" customHeight="1">
      <c r="A304" s="26" t="s">
        <v>2066</v>
      </c>
      <c r="B304" s="26" t="s">
        <v>138</v>
      </c>
      <c r="C304" t="s">
        <v>2278</v>
      </c>
    </row>
    <row r="305" spans="1:3" ht="15" customHeight="1">
      <c r="A305" s="26" t="s">
        <v>2064</v>
      </c>
      <c r="B305" s="26" t="s">
        <v>138</v>
      </c>
      <c r="C305" t="s">
        <v>2279</v>
      </c>
    </row>
    <row r="306" spans="1:3" ht="15" customHeight="1">
      <c r="A306" s="26" t="s">
        <v>170</v>
      </c>
      <c r="B306" s="26" t="s">
        <v>138</v>
      </c>
      <c r="C306" t="s">
        <v>2280</v>
      </c>
    </row>
    <row r="307" spans="1:3" ht="15" customHeight="1">
      <c r="A307" s="26" t="s">
        <v>416</v>
      </c>
      <c r="B307" s="26" t="s">
        <v>138</v>
      </c>
      <c r="C307" t="s">
        <v>2281</v>
      </c>
    </row>
    <row r="308" spans="1:3" ht="15" customHeight="1">
      <c r="A308" s="26" t="s">
        <v>418</v>
      </c>
      <c r="B308" s="26" t="s">
        <v>138</v>
      </c>
      <c r="C308" t="s">
        <v>2282</v>
      </c>
    </row>
    <row r="309" spans="1:3" ht="15" customHeight="1">
      <c r="A309" s="26" t="s">
        <v>420</v>
      </c>
      <c r="B309" s="26" t="s">
        <v>421</v>
      </c>
      <c r="C309" t="s">
        <v>422</v>
      </c>
    </row>
    <row r="310" spans="1:3" ht="15" customHeight="1">
      <c r="A310" s="26" t="s">
        <v>423</v>
      </c>
      <c r="B310" s="26" t="s">
        <v>421</v>
      </c>
      <c r="C310" t="s">
        <v>424</v>
      </c>
    </row>
    <row r="311" spans="1:3" ht="15" customHeight="1">
      <c r="A311" s="26" t="s">
        <v>425</v>
      </c>
      <c r="B311" s="26" t="s">
        <v>187</v>
      </c>
      <c r="C311" t="s">
        <v>426</v>
      </c>
    </row>
    <row r="312" spans="1:3" ht="15" customHeight="1">
      <c r="A312" s="26" t="s">
        <v>427</v>
      </c>
      <c r="B312" s="26" t="s">
        <v>187</v>
      </c>
      <c r="C312" t="s">
        <v>428</v>
      </c>
    </row>
    <row r="313" spans="1:3" ht="15" customHeight="1">
      <c r="A313" s="26" t="s">
        <v>429</v>
      </c>
      <c r="B313" s="26" t="s">
        <v>187</v>
      </c>
      <c r="C313" t="s">
        <v>430</v>
      </c>
    </row>
    <row r="314" spans="1:3" ht="15" customHeight="1">
      <c r="A314" s="26" t="s">
        <v>431</v>
      </c>
      <c r="B314" s="26" t="s">
        <v>187</v>
      </c>
      <c r="C314" t="s">
        <v>432</v>
      </c>
    </row>
    <row r="315" spans="1:3" ht="15" customHeight="1">
      <c r="A315" s="26" t="s">
        <v>433</v>
      </c>
      <c r="B315" s="26" t="s">
        <v>187</v>
      </c>
      <c r="C315" t="s">
        <v>434</v>
      </c>
    </row>
    <row r="316" spans="1:3" ht="15" customHeight="1">
      <c r="A316" s="26" t="s">
        <v>435</v>
      </c>
      <c r="B316" s="26" t="s">
        <v>187</v>
      </c>
      <c r="C316" t="s">
        <v>436</v>
      </c>
    </row>
    <row r="317" spans="1:3" ht="15" customHeight="1">
      <c r="A317" s="26" t="s">
        <v>437</v>
      </c>
      <c r="B317" s="26" t="s">
        <v>187</v>
      </c>
      <c r="C317" t="s">
        <v>438</v>
      </c>
    </row>
    <row r="318" spans="1:3" ht="15" customHeight="1">
      <c r="A318" s="26" t="s">
        <v>439</v>
      </c>
      <c r="B318" s="26" t="s">
        <v>187</v>
      </c>
      <c r="C318" t="s">
        <v>440</v>
      </c>
    </row>
    <row r="319" spans="1:3" ht="15" customHeight="1">
      <c r="A319" s="26" t="s">
        <v>441</v>
      </c>
      <c r="B319" s="26" t="s">
        <v>187</v>
      </c>
      <c r="C319" t="s">
        <v>442</v>
      </c>
    </row>
    <row r="320" spans="1:3" ht="15" customHeight="1">
      <c r="A320" s="26" t="s">
        <v>443</v>
      </c>
      <c r="B320" s="26" t="s">
        <v>187</v>
      </c>
      <c r="C320" t="s">
        <v>444</v>
      </c>
    </row>
    <row r="321" spans="1:3" ht="15" customHeight="1">
      <c r="A321" s="26" t="s">
        <v>445</v>
      </c>
      <c r="B321" s="26" t="s">
        <v>187</v>
      </c>
      <c r="C321" t="s">
        <v>446</v>
      </c>
    </row>
    <row r="322" spans="1:3" ht="15" customHeight="1">
      <c r="A322" s="26" t="s">
        <v>447</v>
      </c>
      <c r="B322" s="26" t="s">
        <v>187</v>
      </c>
      <c r="C322" t="s">
        <v>448</v>
      </c>
    </row>
    <row r="323" spans="1:3" ht="15" customHeight="1">
      <c r="A323" s="26" t="s">
        <v>449</v>
      </c>
      <c r="B323" s="26" t="s">
        <v>205</v>
      </c>
      <c r="C323" t="s">
        <v>450</v>
      </c>
    </row>
    <row r="324" spans="1:3" ht="15" customHeight="1">
      <c r="A324" s="26" t="s">
        <v>451</v>
      </c>
      <c r="B324" s="26" t="s">
        <v>205</v>
      </c>
      <c r="C324" t="s">
        <v>452</v>
      </c>
    </row>
    <row r="325" spans="1:3" ht="15" customHeight="1">
      <c r="A325" s="26" t="s">
        <v>453</v>
      </c>
      <c r="B325" s="26" t="s">
        <v>205</v>
      </c>
      <c r="C325" t="s">
        <v>454</v>
      </c>
    </row>
    <row r="326" spans="1:3" ht="15" customHeight="1">
      <c r="A326" s="26" t="s">
        <v>455</v>
      </c>
      <c r="B326" s="26" t="s">
        <v>205</v>
      </c>
      <c r="C326" t="s">
        <v>456</v>
      </c>
    </row>
    <row r="327" spans="1:3" ht="15" customHeight="1">
      <c r="A327" s="26" t="s">
        <v>457</v>
      </c>
      <c r="B327" s="26" t="s">
        <v>205</v>
      </c>
      <c r="C327" t="s">
        <v>458</v>
      </c>
    </row>
    <row r="328" spans="1:3" ht="15" customHeight="1">
      <c r="A328" s="26" t="s">
        <v>459</v>
      </c>
      <c r="B328" s="26" t="s">
        <v>205</v>
      </c>
      <c r="C328" t="s">
        <v>460</v>
      </c>
    </row>
    <row r="329" spans="1:3" ht="15" customHeight="1">
      <c r="A329" s="26" t="s">
        <v>461</v>
      </c>
      <c r="B329" s="26" t="s">
        <v>205</v>
      </c>
      <c r="C329" t="s">
        <v>462</v>
      </c>
    </row>
    <row r="330" spans="1:3" ht="15" customHeight="1">
      <c r="A330" t="s">
        <v>463</v>
      </c>
      <c r="B330" s="26" t="s">
        <v>464</v>
      </c>
      <c r="C330" t="s">
        <v>465</v>
      </c>
    </row>
    <row r="331" spans="1:3" ht="15" customHeight="1">
      <c r="A331" t="s">
        <v>466</v>
      </c>
      <c r="B331" s="26" t="s">
        <v>464</v>
      </c>
      <c r="C331" t="s">
        <v>467</v>
      </c>
    </row>
    <row r="332" spans="1:3" ht="15" customHeight="1">
      <c r="A332" t="s">
        <v>468</v>
      </c>
      <c r="B332" s="26" t="s">
        <v>464</v>
      </c>
      <c r="C332" t="s">
        <v>469</v>
      </c>
    </row>
    <row r="333" spans="1:3" ht="15" customHeight="1">
      <c r="A333" t="s">
        <v>470</v>
      </c>
      <c r="B333" s="26" t="s">
        <v>464</v>
      </c>
      <c r="C333" t="s">
        <v>471</v>
      </c>
    </row>
    <row r="334" spans="1:3" ht="15" customHeight="1">
      <c r="A334" s="26" t="s">
        <v>472</v>
      </c>
      <c r="B334" s="26" t="s">
        <v>473</v>
      </c>
      <c r="C334" t="s">
        <v>474</v>
      </c>
    </row>
    <row r="335" spans="1:3" ht="15" customHeight="1">
      <c r="A335" s="26" t="s">
        <v>475</v>
      </c>
      <c r="B335" s="26" t="s">
        <v>473</v>
      </c>
      <c r="C335" t="s">
        <v>476</v>
      </c>
    </row>
    <row r="336" spans="1:3" ht="15" customHeight="1">
      <c r="A336" s="26" t="s">
        <v>477</v>
      </c>
      <c r="B336" s="26" t="s">
        <v>473</v>
      </c>
      <c r="C336" t="s">
        <v>478</v>
      </c>
    </row>
    <row r="337" spans="1:3" ht="15" customHeight="1">
      <c r="A337" s="26" t="s">
        <v>479</v>
      </c>
      <c r="B337" s="26" t="s">
        <v>473</v>
      </c>
      <c r="C337" t="s">
        <v>480</v>
      </c>
    </row>
    <row r="338" spans="1:3" ht="15" customHeight="1">
      <c r="A338" s="26" t="s">
        <v>481</v>
      </c>
      <c r="B338" s="26" t="s">
        <v>473</v>
      </c>
      <c r="C338" t="s">
        <v>482</v>
      </c>
    </row>
    <row r="339" spans="1:3" ht="15" customHeight="1">
      <c r="A339" s="26" t="s">
        <v>483</v>
      </c>
      <c r="B339" s="26" t="s">
        <v>473</v>
      </c>
      <c r="C339" t="s">
        <v>484</v>
      </c>
    </row>
    <row r="340" spans="1:3" ht="15" customHeight="1">
      <c r="A340" s="26" t="s">
        <v>485</v>
      </c>
      <c r="B340" s="26" t="s">
        <v>473</v>
      </c>
      <c r="C340" t="s">
        <v>486</v>
      </c>
    </row>
    <row r="341" spans="1:3" ht="15" customHeight="1">
      <c r="A341" s="26" t="s">
        <v>487</v>
      </c>
      <c r="B341" s="26" t="s">
        <v>488</v>
      </c>
      <c r="C341" t="s">
        <v>489</v>
      </c>
    </row>
    <row r="342" spans="1:3" ht="15" customHeight="1">
      <c r="A342" s="26" t="s">
        <v>490</v>
      </c>
      <c r="B342" s="26" t="s">
        <v>488</v>
      </c>
      <c r="C342" t="s">
        <v>491</v>
      </c>
    </row>
    <row r="343" spans="1:3" ht="15" customHeight="1">
      <c r="A343" s="26" t="s">
        <v>492</v>
      </c>
      <c r="B343" s="26" t="s">
        <v>488</v>
      </c>
      <c r="C343" t="s">
        <v>493</v>
      </c>
    </row>
    <row r="344" spans="1:3" ht="15" customHeight="1">
      <c r="A344" s="26" t="s">
        <v>494</v>
      </c>
      <c r="B344" s="26" t="s">
        <v>488</v>
      </c>
      <c r="C344" t="s">
        <v>495</v>
      </c>
    </row>
    <row r="345" spans="1:3" ht="15" customHeight="1">
      <c r="A345" s="26" t="s">
        <v>496</v>
      </c>
      <c r="B345" s="26" t="s">
        <v>488</v>
      </c>
      <c r="C345" t="s">
        <v>497</v>
      </c>
    </row>
    <row r="346" spans="1:3" ht="15" customHeight="1">
      <c r="A346" s="26" t="s">
        <v>498</v>
      </c>
      <c r="B346" s="26" t="s">
        <v>488</v>
      </c>
      <c r="C346" t="s">
        <v>499</v>
      </c>
    </row>
    <row r="347" spans="1:3" ht="15" customHeight="1">
      <c r="A347" s="26" t="s">
        <v>500</v>
      </c>
      <c r="B347" s="26" t="s">
        <v>488</v>
      </c>
      <c r="C347" t="s">
        <v>501</v>
      </c>
    </row>
    <row r="348" spans="1:3" ht="15" customHeight="1">
      <c r="A348" s="26" t="s">
        <v>502</v>
      </c>
      <c r="B348" s="26" t="s">
        <v>488</v>
      </c>
      <c r="C348" t="s">
        <v>503</v>
      </c>
    </row>
    <row r="349" spans="1:3" ht="15" customHeight="1">
      <c r="A349" s="26" t="s">
        <v>504</v>
      </c>
      <c r="B349" s="26" t="s">
        <v>488</v>
      </c>
      <c r="C349" t="s">
        <v>505</v>
      </c>
    </row>
    <row r="350" spans="1:3" ht="15" customHeight="1">
      <c r="A350" s="26" t="s">
        <v>506</v>
      </c>
      <c r="B350" s="26" t="s">
        <v>488</v>
      </c>
      <c r="C350" t="s">
        <v>507</v>
      </c>
    </row>
    <row r="351" spans="1:3" ht="15" customHeight="1">
      <c r="A351" s="26" t="s">
        <v>508</v>
      </c>
      <c r="B351" s="26" t="s">
        <v>488</v>
      </c>
      <c r="C351" t="s">
        <v>509</v>
      </c>
    </row>
    <row r="352" spans="1:3" ht="15" customHeight="1">
      <c r="A352" s="26" t="s">
        <v>510</v>
      </c>
      <c r="B352" s="26" t="s">
        <v>488</v>
      </c>
      <c r="C352" t="s">
        <v>511</v>
      </c>
    </row>
    <row r="353" spans="1:3" ht="15" customHeight="1">
      <c r="A353" s="26" t="s">
        <v>512</v>
      </c>
      <c r="B353" s="26" t="s">
        <v>488</v>
      </c>
      <c r="C353" t="s">
        <v>513</v>
      </c>
    </row>
    <row r="354" spans="1:3" ht="15" customHeight="1">
      <c r="A354" s="26" t="s">
        <v>514</v>
      </c>
      <c r="B354" s="26" t="s">
        <v>488</v>
      </c>
      <c r="C354" t="s">
        <v>515</v>
      </c>
    </row>
    <row r="355" spans="1:3" ht="15" customHeight="1">
      <c r="A355" s="26" t="s">
        <v>516</v>
      </c>
      <c r="B355" s="26" t="s">
        <v>488</v>
      </c>
      <c r="C355" t="s">
        <v>517</v>
      </c>
    </row>
    <row r="356" spans="1:3" ht="15" customHeight="1">
      <c r="A356" s="26" t="s">
        <v>518</v>
      </c>
      <c r="B356" s="26" t="s">
        <v>488</v>
      </c>
      <c r="C356" t="s">
        <v>519</v>
      </c>
    </row>
    <row r="357" spans="1:3" ht="15" customHeight="1">
      <c r="A357" s="26" t="s">
        <v>520</v>
      </c>
      <c r="B357" s="26" t="s">
        <v>488</v>
      </c>
      <c r="C357" t="s">
        <v>521</v>
      </c>
    </row>
    <row r="358" spans="1:3" ht="15" customHeight="1">
      <c r="A358" s="26" t="s">
        <v>522</v>
      </c>
      <c r="B358" s="26" t="s">
        <v>488</v>
      </c>
      <c r="C358" t="s">
        <v>523</v>
      </c>
    </row>
    <row r="359" spans="1:3" ht="15" customHeight="1">
      <c r="A359" s="26" t="s">
        <v>524</v>
      </c>
      <c r="B359" s="26" t="s">
        <v>525</v>
      </c>
      <c r="C359" t="s">
        <v>526</v>
      </c>
    </row>
    <row r="360" spans="1:3" ht="15" customHeight="1">
      <c r="A360" s="26" t="s">
        <v>527</v>
      </c>
      <c r="B360" s="26" t="s">
        <v>525</v>
      </c>
      <c r="C360" t="s">
        <v>528</v>
      </c>
    </row>
    <row r="361" spans="1:3" ht="15" customHeight="1">
      <c r="A361" s="26" t="s">
        <v>529</v>
      </c>
      <c r="B361" s="26" t="s">
        <v>525</v>
      </c>
      <c r="C361" t="s">
        <v>530</v>
      </c>
    </row>
    <row r="362" spans="1:3" ht="15" customHeight="1">
      <c r="A362" s="26" t="s">
        <v>531</v>
      </c>
      <c r="B362" s="26" t="s">
        <v>525</v>
      </c>
      <c r="C362" t="s">
        <v>532</v>
      </c>
    </row>
    <row r="363" spans="1:3" ht="15" customHeight="1">
      <c r="A363" s="26" t="s">
        <v>533</v>
      </c>
      <c r="B363" s="26" t="s">
        <v>525</v>
      </c>
      <c r="C363" t="s">
        <v>534</v>
      </c>
    </row>
    <row r="364" spans="1:3" ht="15" customHeight="1">
      <c r="A364" s="26" t="s">
        <v>535</v>
      </c>
      <c r="B364" s="26" t="s">
        <v>525</v>
      </c>
      <c r="C364" t="s">
        <v>536</v>
      </c>
    </row>
    <row r="365" spans="1:3" ht="15" customHeight="1">
      <c r="A365" s="26" t="s">
        <v>537</v>
      </c>
      <c r="B365" s="26" t="s">
        <v>525</v>
      </c>
      <c r="C365" t="s">
        <v>538</v>
      </c>
    </row>
    <row r="366" spans="1:3" ht="15" customHeight="1">
      <c r="A366" s="26" t="s">
        <v>539</v>
      </c>
      <c r="B366" s="26" t="s">
        <v>525</v>
      </c>
      <c r="C366" t="s">
        <v>540</v>
      </c>
    </row>
    <row r="367" spans="1:3" ht="15" customHeight="1">
      <c r="A367" s="26" t="s">
        <v>541</v>
      </c>
      <c r="B367" s="26" t="s">
        <v>525</v>
      </c>
      <c r="C367" t="s">
        <v>542</v>
      </c>
    </row>
    <row r="368" spans="1:3" ht="15" customHeight="1">
      <c r="A368" s="26" t="s">
        <v>543</v>
      </c>
      <c r="B368" s="26" t="s">
        <v>544</v>
      </c>
      <c r="C368" t="s">
        <v>545</v>
      </c>
    </row>
    <row r="369" spans="1:3" ht="15" customHeight="1">
      <c r="A369" s="26" t="s">
        <v>546</v>
      </c>
      <c r="B369" s="26" t="s">
        <v>544</v>
      </c>
      <c r="C369" t="s">
        <v>547</v>
      </c>
    </row>
    <row r="370" spans="1:3" ht="15" customHeight="1">
      <c r="A370" s="26" t="s">
        <v>548</v>
      </c>
      <c r="B370" s="26" t="s">
        <v>544</v>
      </c>
      <c r="C370" t="s">
        <v>549</v>
      </c>
    </row>
    <row r="371" spans="1:3" ht="15" customHeight="1">
      <c r="A371" s="26" t="s">
        <v>550</v>
      </c>
      <c r="B371" s="26" t="s">
        <v>544</v>
      </c>
      <c r="C371" t="s">
        <v>551</v>
      </c>
    </row>
    <row r="372" spans="1:3" ht="15" customHeight="1">
      <c r="A372" s="26" t="s">
        <v>552</v>
      </c>
      <c r="B372" s="26" t="s">
        <v>544</v>
      </c>
      <c r="C372" t="s">
        <v>553</v>
      </c>
    </row>
    <row r="373" spans="1:3" ht="15" customHeight="1">
      <c r="A373" s="26" t="s">
        <v>554</v>
      </c>
      <c r="B373" s="26" t="s">
        <v>544</v>
      </c>
      <c r="C373" t="s">
        <v>555</v>
      </c>
    </row>
    <row r="374" spans="1:3" ht="15" customHeight="1">
      <c r="A374" s="26" t="s">
        <v>556</v>
      </c>
      <c r="B374" s="26" t="s">
        <v>544</v>
      </c>
      <c r="C374" t="s">
        <v>557</v>
      </c>
    </row>
    <row r="375" spans="1:3" ht="15" customHeight="1">
      <c r="A375" s="26" t="s">
        <v>558</v>
      </c>
      <c r="B375" s="26" t="s">
        <v>544</v>
      </c>
      <c r="C375" t="s">
        <v>559</v>
      </c>
    </row>
    <row r="376" spans="1:3" ht="15" customHeight="1">
      <c r="A376" s="26" t="s">
        <v>560</v>
      </c>
      <c r="B376" s="26" t="s">
        <v>561</v>
      </c>
      <c r="C376" t="s">
        <v>562</v>
      </c>
    </row>
    <row r="377" spans="1:3" ht="15" customHeight="1">
      <c r="A377" s="26" t="s">
        <v>563</v>
      </c>
      <c r="B377" s="26" t="s">
        <v>561</v>
      </c>
      <c r="C377" t="s">
        <v>564</v>
      </c>
    </row>
    <row r="378" spans="1:3" ht="15" customHeight="1">
      <c r="A378" s="26" t="s">
        <v>565</v>
      </c>
      <c r="B378" s="26" t="s">
        <v>561</v>
      </c>
      <c r="C378" t="s">
        <v>566</v>
      </c>
    </row>
    <row r="379" spans="1:3" ht="15" customHeight="1">
      <c r="A379" s="26" t="s">
        <v>567</v>
      </c>
      <c r="B379" s="26" t="s">
        <v>561</v>
      </c>
      <c r="C379" t="s">
        <v>568</v>
      </c>
    </row>
    <row r="380" spans="1:3" ht="15" customHeight="1">
      <c r="A380" s="26" t="s">
        <v>569</v>
      </c>
      <c r="B380" s="26" t="s">
        <v>561</v>
      </c>
      <c r="C380" t="s">
        <v>570</v>
      </c>
    </row>
    <row r="381" spans="1:3" ht="15" customHeight="1">
      <c r="A381" s="26" t="s">
        <v>571</v>
      </c>
      <c r="B381" s="26" t="s">
        <v>561</v>
      </c>
      <c r="C381" t="s">
        <v>572</v>
      </c>
    </row>
    <row r="382" spans="1:3" ht="15" customHeight="1">
      <c r="A382" s="26" t="s">
        <v>573</v>
      </c>
      <c r="B382" s="26" t="s">
        <v>561</v>
      </c>
      <c r="C382" t="s">
        <v>574</v>
      </c>
    </row>
    <row r="383" spans="1:3" ht="15" customHeight="1">
      <c r="A383" s="26" t="s">
        <v>575</v>
      </c>
      <c r="B383" s="26" t="s">
        <v>561</v>
      </c>
      <c r="C383" t="s">
        <v>576</v>
      </c>
    </row>
    <row r="384" spans="1:3" ht="15" customHeight="1">
      <c r="A384" s="26" t="s">
        <v>577</v>
      </c>
      <c r="B384" s="26" t="s">
        <v>561</v>
      </c>
      <c r="C384" t="s">
        <v>578</v>
      </c>
    </row>
    <row r="385" spans="1:3" ht="15" customHeight="1">
      <c r="A385" s="26" t="s">
        <v>579</v>
      </c>
      <c r="B385" s="26" t="s">
        <v>561</v>
      </c>
      <c r="C385" t="s">
        <v>580</v>
      </c>
    </row>
    <row r="386" spans="1:3" ht="15" customHeight="1">
      <c r="A386" s="26" t="s">
        <v>581</v>
      </c>
      <c r="B386" s="26" t="s">
        <v>561</v>
      </c>
      <c r="C386" t="s">
        <v>582</v>
      </c>
    </row>
    <row r="387" spans="1:3" ht="15" customHeight="1">
      <c r="A387" s="26" t="s">
        <v>2283</v>
      </c>
      <c r="B387" s="26" t="s">
        <v>584</v>
      </c>
      <c r="C387" t="s">
        <v>2284</v>
      </c>
    </row>
    <row r="388" spans="1:3" ht="15" customHeight="1">
      <c r="A388" s="26" t="s">
        <v>2285</v>
      </c>
      <c r="B388" s="26" t="s">
        <v>584</v>
      </c>
      <c r="C388" t="s">
        <v>2286</v>
      </c>
    </row>
    <row r="389" spans="1:3" ht="15" customHeight="1">
      <c r="A389" s="26" t="s">
        <v>586</v>
      </c>
      <c r="B389" s="26" t="s">
        <v>584</v>
      </c>
      <c r="C389" t="s">
        <v>2287</v>
      </c>
    </row>
    <row r="390" spans="1:3" ht="15" customHeight="1">
      <c r="A390" s="26" t="s">
        <v>2288</v>
      </c>
      <c r="B390" s="26" t="s">
        <v>584</v>
      </c>
      <c r="C390" t="s">
        <v>2289</v>
      </c>
    </row>
    <row r="391" spans="1:3" ht="15" customHeight="1">
      <c r="A391" s="26" t="s">
        <v>2290</v>
      </c>
      <c r="B391" s="26" t="s">
        <v>584</v>
      </c>
      <c r="C391" t="s">
        <v>2291</v>
      </c>
    </row>
    <row r="392" spans="1:3" ht="15" customHeight="1">
      <c r="A392" s="26" t="s">
        <v>2292</v>
      </c>
      <c r="B392" s="26" t="s">
        <v>584</v>
      </c>
      <c r="C392" t="s">
        <v>2293</v>
      </c>
    </row>
    <row r="393" spans="1:3" ht="15" customHeight="1">
      <c r="A393" s="26" t="s">
        <v>2294</v>
      </c>
      <c r="B393" s="26" t="s">
        <v>584</v>
      </c>
      <c r="C393" t="s">
        <v>2295</v>
      </c>
    </row>
    <row r="394" spans="1:3" ht="15" customHeight="1">
      <c r="A394" s="26" t="s">
        <v>592</v>
      </c>
      <c r="B394" s="26" t="s">
        <v>584</v>
      </c>
      <c r="C394" t="s">
        <v>2296</v>
      </c>
    </row>
    <row r="395" spans="1:3" ht="15" customHeight="1">
      <c r="A395" s="26" t="s">
        <v>2297</v>
      </c>
      <c r="B395" s="26" t="s">
        <v>584</v>
      </c>
      <c r="C395" t="s">
        <v>2298</v>
      </c>
    </row>
    <row r="396" spans="1:3" ht="15" customHeight="1">
      <c r="A396" s="26" t="s">
        <v>2299</v>
      </c>
      <c r="B396" s="26" t="s">
        <v>584</v>
      </c>
      <c r="C396" t="s">
        <v>2300</v>
      </c>
    </row>
    <row r="397" spans="1:3" ht="15" customHeight="1">
      <c r="A397" s="26" t="s">
        <v>596</v>
      </c>
      <c r="B397" s="26" t="s">
        <v>584</v>
      </c>
      <c r="C397" t="s">
        <v>2301</v>
      </c>
    </row>
    <row r="398" spans="1:3" ht="15" customHeight="1">
      <c r="A398" s="26" t="s">
        <v>2302</v>
      </c>
      <c r="B398" s="26" t="s">
        <v>584</v>
      </c>
      <c r="C398" t="s">
        <v>2303</v>
      </c>
    </row>
    <row r="399" spans="1:3" ht="15" customHeight="1">
      <c r="A399" s="26" t="s">
        <v>2304</v>
      </c>
      <c r="B399" s="26" t="s">
        <v>584</v>
      </c>
      <c r="C399" t="s">
        <v>2305</v>
      </c>
    </row>
    <row r="400" spans="1:3" ht="15" customHeight="1">
      <c r="A400" s="26" t="s">
        <v>2306</v>
      </c>
      <c r="B400" s="26" t="s">
        <v>584</v>
      </c>
      <c r="C400" t="s">
        <v>2307</v>
      </c>
    </row>
    <row r="401" spans="1:3" ht="15" customHeight="1">
      <c r="A401" s="26" t="s">
        <v>2308</v>
      </c>
      <c r="B401" s="26" t="s">
        <v>584</v>
      </c>
      <c r="C401" t="s">
        <v>2309</v>
      </c>
    </row>
    <row r="402" spans="1:3" ht="15" customHeight="1">
      <c r="A402" s="26" t="s">
        <v>2310</v>
      </c>
      <c r="B402" s="26" t="s">
        <v>584</v>
      </c>
      <c r="C402" t="s">
        <v>2311</v>
      </c>
    </row>
    <row r="403" spans="1:3" ht="15" customHeight="1">
      <c r="A403" s="26" t="s">
        <v>2312</v>
      </c>
      <c r="B403" s="26" t="s">
        <v>584</v>
      </c>
      <c r="C403" t="s">
        <v>2313</v>
      </c>
    </row>
    <row r="404" spans="1:3" ht="15" customHeight="1">
      <c r="A404" s="26" t="s">
        <v>2314</v>
      </c>
      <c r="B404" s="26" t="s">
        <v>584</v>
      </c>
      <c r="C404" t="s">
        <v>2315</v>
      </c>
    </row>
    <row r="405" spans="1:3" ht="15" customHeight="1">
      <c r="A405" s="26" t="s">
        <v>2316</v>
      </c>
      <c r="B405" s="26" t="s">
        <v>584</v>
      </c>
      <c r="C405" t="s">
        <v>2317</v>
      </c>
    </row>
    <row r="406" spans="1:3" ht="15" customHeight="1">
      <c r="A406" s="26" t="s">
        <v>2318</v>
      </c>
      <c r="B406" s="26" t="s">
        <v>584</v>
      </c>
      <c r="C406" t="s">
        <v>2319</v>
      </c>
    </row>
    <row r="407" spans="1:3" ht="15" customHeight="1">
      <c r="A407" s="26" t="s">
        <v>2320</v>
      </c>
      <c r="B407" s="26" t="s">
        <v>584</v>
      </c>
      <c r="C407" t="s">
        <v>2321</v>
      </c>
    </row>
    <row r="408" spans="1:3" ht="15" customHeight="1">
      <c r="A408" s="26" t="s">
        <v>2322</v>
      </c>
      <c r="B408" s="26" t="s">
        <v>584</v>
      </c>
      <c r="C408" t="s">
        <v>2323</v>
      </c>
    </row>
    <row r="409" spans="1:3" ht="15" customHeight="1">
      <c r="A409" s="26" t="s">
        <v>2324</v>
      </c>
      <c r="B409" s="26" t="s">
        <v>584</v>
      </c>
      <c r="C409" t="s">
        <v>2325</v>
      </c>
    </row>
    <row r="410" spans="1:3" ht="15" customHeight="1">
      <c r="A410" s="26" t="s">
        <v>608</v>
      </c>
      <c r="B410" s="26" t="s">
        <v>584</v>
      </c>
      <c r="C410" t="s">
        <v>2326</v>
      </c>
    </row>
    <row r="411" spans="1:3" ht="15" customHeight="1">
      <c r="A411" s="26" t="s">
        <v>2327</v>
      </c>
      <c r="B411" s="26" t="s">
        <v>584</v>
      </c>
      <c r="C411" t="s">
        <v>2328</v>
      </c>
    </row>
    <row r="412" spans="1:3" ht="15" customHeight="1">
      <c r="A412" s="26" t="s">
        <v>2329</v>
      </c>
      <c r="B412" s="26" t="s">
        <v>584</v>
      </c>
      <c r="C412" t="s">
        <v>2330</v>
      </c>
    </row>
    <row r="413" spans="1:3" ht="15" customHeight="1">
      <c r="A413" s="26" t="s">
        <v>2331</v>
      </c>
      <c r="B413" s="26" t="s">
        <v>584</v>
      </c>
      <c r="C413" t="s">
        <v>2332</v>
      </c>
    </row>
    <row r="414" spans="1:3" ht="15" customHeight="1">
      <c r="A414" s="26" t="s">
        <v>2333</v>
      </c>
      <c r="B414" s="26" t="s">
        <v>584</v>
      </c>
      <c r="C414" t="s">
        <v>2334</v>
      </c>
    </row>
    <row r="415" spans="1:3" ht="15" customHeight="1">
      <c r="A415" s="26" t="s">
        <v>2335</v>
      </c>
      <c r="B415" s="26" t="s">
        <v>584</v>
      </c>
      <c r="C415" t="s">
        <v>2336</v>
      </c>
    </row>
    <row r="416" spans="1:3" ht="15" customHeight="1">
      <c r="A416" s="26" t="s">
        <v>2337</v>
      </c>
      <c r="B416" s="26" t="s">
        <v>584</v>
      </c>
      <c r="C416" t="s">
        <v>2338</v>
      </c>
    </row>
    <row r="417" spans="1:3" ht="15" customHeight="1">
      <c r="A417" s="26" t="s">
        <v>2339</v>
      </c>
      <c r="B417" s="26" t="s">
        <v>584</v>
      </c>
      <c r="C417" t="s">
        <v>2340</v>
      </c>
    </row>
    <row r="418" spans="1:3" ht="15" customHeight="1">
      <c r="A418" s="26" t="s">
        <v>614</v>
      </c>
      <c r="B418" s="26" t="s">
        <v>584</v>
      </c>
      <c r="C418" t="s">
        <v>615</v>
      </c>
    </row>
    <row r="419" spans="1:3" ht="15" customHeight="1">
      <c r="A419" s="26" t="s">
        <v>2341</v>
      </c>
      <c r="B419" s="26" t="s">
        <v>617</v>
      </c>
      <c r="C419" t="s">
        <v>2342</v>
      </c>
    </row>
    <row r="420" spans="1:3" ht="15" customHeight="1">
      <c r="A420" s="26" t="s">
        <v>2343</v>
      </c>
      <c r="B420" s="26" t="s">
        <v>617</v>
      </c>
      <c r="C420" t="s">
        <v>2344</v>
      </c>
    </row>
    <row r="421" spans="1:3" ht="15" customHeight="1">
      <c r="A421" s="26" t="s">
        <v>2345</v>
      </c>
      <c r="B421" s="26" t="s">
        <v>617</v>
      </c>
      <c r="C421" t="s">
        <v>2346</v>
      </c>
    </row>
    <row r="422" spans="1:3" ht="15" customHeight="1">
      <c r="A422" s="26" t="s">
        <v>2347</v>
      </c>
      <c r="B422" s="26" t="s">
        <v>617</v>
      </c>
      <c r="C422" t="s">
        <v>2348</v>
      </c>
    </row>
    <row r="423" spans="1:3" ht="15" customHeight="1">
      <c r="A423" s="26" t="s">
        <v>621</v>
      </c>
      <c r="B423" s="26" t="s">
        <v>617</v>
      </c>
      <c r="C423" t="s">
        <v>2349</v>
      </c>
    </row>
    <row r="424" spans="1:3" ht="15" customHeight="1">
      <c r="A424" s="26" t="s">
        <v>623</v>
      </c>
      <c r="B424" s="26" t="s">
        <v>617</v>
      </c>
      <c r="C424" t="s">
        <v>2350</v>
      </c>
    </row>
    <row r="425" spans="1:3" ht="15" customHeight="1">
      <c r="A425" s="26" t="s">
        <v>625</v>
      </c>
      <c r="B425" s="26" t="s">
        <v>617</v>
      </c>
      <c r="C425" t="s">
        <v>626</v>
      </c>
    </row>
    <row r="426" spans="1:3" ht="15" customHeight="1">
      <c r="A426" s="26" t="s">
        <v>2351</v>
      </c>
      <c r="B426" s="26" t="s">
        <v>628</v>
      </c>
      <c r="C426" t="s">
        <v>2352</v>
      </c>
    </row>
    <row r="427" spans="1:3" ht="15" customHeight="1">
      <c r="A427" s="26" t="s">
        <v>2353</v>
      </c>
      <c r="B427" s="26" t="s">
        <v>628</v>
      </c>
      <c r="C427" t="s">
        <v>2354</v>
      </c>
    </row>
    <row r="428" spans="1:3" ht="15" customHeight="1">
      <c r="A428" s="26" t="s">
        <v>2355</v>
      </c>
      <c r="B428" s="26" t="s">
        <v>628</v>
      </c>
      <c r="C428" t="s">
        <v>2356</v>
      </c>
    </row>
    <row r="429" spans="1:3" ht="15" customHeight="1">
      <c r="A429" s="26" t="s">
        <v>2357</v>
      </c>
      <c r="B429" s="26" t="s">
        <v>628</v>
      </c>
      <c r="C429" t="s">
        <v>2358</v>
      </c>
    </row>
    <row r="430" spans="1:3" ht="15" customHeight="1">
      <c r="A430" s="26" t="s">
        <v>2359</v>
      </c>
      <c r="B430" s="26" t="s">
        <v>628</v>
      </c>
      <c r="C430" t="s">
        <v>2360</v>
      </c>
    </row>
    <row r="431" spans="1:3" ht="15" customHeight="1">
      <c r="A431" s="26" t="s">
        <v>2361</v>
      </c>
      <c r="B431" s="26" t="s">
        <v>628</v>
      </c>
      <c r="C431" t="s">
        <v>2362</v>
      </c>
    </row>
    <row r="432" spans="1:3" ht="15" customHeight="1">
      <c r="A432" s="26" t="s">
        <v>2363</v>
      </c>
      <c r="B432" s="26" t="s">
        <v>628</v>
      </c>
      <c r="C432" t="s">
        <v>2364</v>
      </c>
    </row>
    <row r="433" spans="1:3" ht="15" customHeight="1">
      <c r="A433" s="26" t="s">
        <v>2365</v>
      </c>
      <c r="B433" s="26" t="s">
        <v>628</v>
      </c>
      <c r="C433" t="s">
        <v>2366</v>
      </c>
    </row>
    <row r="434" spans="1:3" ht="15" customHeight="1">
      <c r="A434" s="26" t="s">
        <v>2367</v>
      </c>
      <c r="B434" s="26" t="s">
        <v>628</v>
      </c>
      <c r="C434" t="s">
        <v>2368</v>
      </c>
    </row>
    <row r="435" spans="1:3" ht="15" customHeight="1">
      <c r="A435" s="26" t="s">
        <v>2369</v>
      </c>
      <c r="B435" s="26" t="s">
        <v>628</v>
      </c>
      <c r="C435" t="s">
        <v>2370</v>
      </c>
    </row>
    <row r="436" spans="1:3" ht="15" customHeight="1">
      <c r="A436" s="26" t="s">
        <v>2371</v>
      </c>
      <c r="B436" s="26" t="s">
        <v>628</v>
      </c>
      <c r="C436" t="s">
        <v>2372</v>
      </c>
    </row>
    <row r="437" spans="1:3" ht="15" customHeight="1">
      <c r="A437" s="26" t="s">
        <v>2373</v>
      </c>
      <c r="B437" s="26" t="s">
        <v>628</v>
      </c>
      <c r="C437" t="s">
        <v>2374</v>
      </c>
    </row>
    <row r="438" spans="1:3" ht="15" customHeight="1">
      <c r="A438" s="26" t="s">
        <v>2369</v>
      </c>
      <c r="B438" s="26" t="s">
        <v>628</v>
      </c>
      <c r="C438" t="s">
        <v>2375</v>
      </c>
    </row>
    <row r="439" spans="1:3" ht="15" customHeight="1">
      <c r="A439" s="26" t="s">
        <v>2376</v>
      </c>
      <c r="B439" s="26" t="s">
        <v>628</v>
      </c>
      <c r="C439" t="s">
        <v>2377</v>
      </c>
    </row>
    <row r="440" spans="1:3" ht="15" customHeight="1">
      <c r="A440" s="26" t="s">
        <v>2378</v>
      </c>
      <c r="B440" s="26" t="s">
        <v>628</v>
      </c>
      <c r="C440" t="s">
        <v>2379</v>
      </c>
    </row>
    <row r="441" spans="1:3" ht="15" customHeight="1">
      <c r="A441" s="26" t="s">
        <v>2380</v>
      </c>
      <c r="B441" s="26" t="s">
        <v>628</v>
      </c>
      <c r="C441" t="s">
        <v>2381</v>
      </c>
    </row>
    <row r="442" spans="1:3" ht="15" customHeight="1">
      <c r="A442" s="26" t="s">
        <v>2382</v>
      </c>
      <c r="B442" s="26" t="s">
        <v>628</v>
      </c>
      <c r="C442" t="s">
        <v>2383</v>
      </c>
    </row>
    <row r="443" spans="1:3" ht="15" customHeight="1">
      <c r="A443" s="26" t="s">
        <v>2384</v>
      </c>
      <c r="B443" s="26" t="s">
        <v>628</v>
      </c>
      <c r="C443" t="s">
        <v>2385</v>
      </c>
    </row>
    <row r="444" spans="1:3" ht="15" customHeight="1">
      <c r="A444" s="26" t="s">
        <v>642</v>
      </c>
      <c r="B444" s="26" t="s">
        <v>628</v>
      </c>
      <c r="C444" t="s">
        <v>2386</v>
      </c>
    </row>
    <row r="445" spans="1:3" ht="15" customHeight="1">
      <c r="A445" s="26" t="s">
        <v>644</v>
      </c>
      <c r="B445" s="26" t="s">
        <v>628</v>
      </c>
      <c r="C445" t="s">
        <v>645</v>
      </c>
    </row>
    <row r="446" spans="1:3" ht="15" customHeight="1">
      <c r="A446" s="26" t="s">
        <v>646</v>
      </c>
      <c r="B446" s="26" t="s">
        <v>628</v>
      </c>
      <c r="C446" t="s">
        <v>647</v>
      </c>
    </row>
    <row r="447" spans="1:3" ht="15" customHeight="1">
      <c r="A447" s="26" t="s">
        <v>648</v>
      </c>
      <c r="B447" s="26" t="s">
        <v>628</v>
      </c>
      <c r="C447" t="s">
        <v>649</v>
      </c>
    </row>
    <row r="448" spans="1:3" ht="15" customHeight="1">
      <c r="A448" s="26" t="s">
        <v>650</v>
      </c>
      <c r="B448" s="26" t="s">
        <v>628</v>
      </c>
      <c r="C448" t="s">
        <v>651</v>
      </c>
    </row>
    <row r="449" spans="1:3" ht="15" customHeight="1">
      <c r="A449" s="26" t="s">
        <v>652</v>
      </c>
      <c r="B449" s="26" t="s">
        <v>628</v>
      </c>
      <c r="C449" t="s">
        <v>653</v>
      </c>
    </row>
    <row r="450" spans="1:3" ht="15" customHeight="1">
      <c r="A450" s="26" t="s">
        <v>654</v>
      </c>
      <c r="B450" s="26" t="s">
        <v>628</v>
      </c>
      <c r="C450" t="s">
        <v>655</v>
      </c>
    </row>
    <row r="451" spans="1:3" ht="15" customHeight="1">
      <c r="A451" s="26" t="s">
        <v>656</v>
      </c>
      <c r="B451" s="26" t="s">
        <v>628</v>
      </c>
      <c r="C451" t="s">
        <v>657</v>
      </c>
    </row>
    <row r="452" spans="1:3" ht="15" customHeight="1">
      <c r="A452" s="26" t="s">
        <v>658</v>
      </c>
      <c r="B452" s="26" t="s">
        <v>659</v>
      </c>
      <c r="C452" t="s">
        <v>660</v>
      </c>
    </row>
    <row r="453" spans="1:3" ht="15" customHeight="1">
      <c r="A453" s="26" t="s">
        <v>661</v>
      </c>
      <c r="B453" s="26" t="s">
        <v>659</v>
      </c>
      <c r="C453" t="s">
        <v>662</v>
      </c>
    </row>
    <row r="454" spans="1:3" ht="15" customHeight="1">
      <c r="A454" s="26" t="s">
        <v>663</v>
      </c>
      <c r="B454" s="26" t="s">
        <v>659</v>
      </c>
      <c r="C454" t="s">
        <v>664</v>
      </c>
    </row>
    <row r="455" spans="1:3" ht="15" customHeight="1">
      <c r="A455" s="26" t="s">
        <v>665</v>
      </c>
      <c r="B455" s="26" t="s">
        <v>659</v>
      </c>
      <c r="C455" t="s">
        <v>666</v>
      </c>
    </row>
    <row r="456" spans="1:3" ht="15" customHeight="1">
      <c r="A456" s="26" t="s">
        <v>667</v>
      </c>
      <c r="B456" s="26" t="s">
        <v>659</v>
      </c>
      <c r="C456" t="s">
        <v>668</v>
      </c>
    </row>
    <row r="457" spans="1:3" ht="15" customHeight="1">
      <c r="A457" s="26" t="s">
        <v>669</v>
      </c>
      <c r="B457" s="26" t="s">
        <v>659</v>
      </c>
      <c r="C457" t="s">
        <v>670</v>
      </c>
    </row>
    <row r="458" spans="1:3" ht="15" customHeight="1">
      <c r="A458" s="26" t="s">
        <v>671</v>
      </c>
      <c r="B458" s="26" t="s">
        <v>659</v>
      </c>
      <c r="C458" t="s">
        <v>672</v>
      </c>
    </row>
    <row r="459" spans="1:3" ht="15" customHeight="1">
      <c r="A459" s="26" t="s">
        <v>673</v>
      </c>
      <c r="B459" s="26" t="s">
        <v>659</v>
      </c>
      <c r="C459" t="s">
        <v>674</v>
      </c>
    </row>
    <row r="460" spans="1:3" ht="15" customHeight="1">
      <c r="A460" s="26" t="s">
        <v>675</v>
      </c>
      <c r="B460" s="26" t="s">
        <v>659</v>
      </c>
      <c r="C460" t="s">
        <v>676</v>
      </c>
    </row>
    <row r="461" spans="1:3" ht="15" customHeight="1">
      <c r="A461" s="26" t="s">
        <v>677</v>
      </c>
      <c r="B461" s="26" t="s">
        <v>659</v>
      </c>
      <c r="C461" t="s">
        <v>678</v>
      </c>
    </row>
    <row r="462" spans="1:3" ht="15" customHeight="1">
      <c r="A462" s="26" t="s">
        <v>679</v>
      </c>
      <c r="B462" s="26" t="s">
        <v>659</v>
      </c>
      <c r="C462" t="s">
        <v>680</v>
      </c>
    </row>
    <row r="463" spans="1:3" ht="15" customHeight="1">
      <c r="A463" s="26" t="s">
        <v>681</v>
      </c>
      <c r="B463" s="26" t="s">
        <v>659</v>
      </c>
      <c r="C463" t="s">
        <v>682</v>
      </c>
    </row>
    <row r="464" spans="1:3" ht="15" customHeight="1">
      <c r="A464" s="26" t="s">
        <v>683</v>
      </c>
      <c r="B464" s="26" t="s">
        <v>659</v>
      </c>
      <c r="C464" t="s">
        <v>684</v>
      </c>
    </row>
    <row r="465" spans="1:3" ht="15" customHeight="1">
      <c r="A465" s="26" t="s">
        <v>685</v>
      </c>
      <c r="B465" s="26" t="s">
        <v>659</v>
      </c>
      <c r="C465" t="s">
        <v>686</v>
      </c>
    </row>
    <row r="466" spans="1:3" ht="15" customHeight="1">
      <c r="A466" s="26" t="s">
        <v>687</v>
      </c>
      <c r="B466" s="26" t="s">
        <v>659</v>
      </c>
      <c r="C466" t="s">
        <v>688</v>
      </c>
    </row>
    <row r="467" spans="1:3" ht="15" customHeight="1">
      <c r="A467" s="26" t="s">
        <v>689</v>
      </c>
      <c r="B467" s="26" t="s">
        <v>659</v>
      </c>
      <c r="C467" t="s">
        <v>690</v>
      </c>
    </row>
    <row r="468" spans="1:3" ht="15" customHeight="1">
      <c r="A468" s="26" t="s">
        <v>691</v>
      </c>
      <c r="B468" s="26" t="s">
        <v>659</v>
      </c>
      <c r="C468" t="s">
        <v>692</v>
      </c>
    </row>
    <row r="469" spans="1:3" ht="15" customHeight="1">
      <c r="A469" t="s">
        <v>693</v>
      </c>
      <c r="B469" s="26" t="s">
        <v>659</v>
      </c>
      <c r="C469" t="s">
        <v>694</v>
      </c>
    </row>
    <row r="470" spans="1:3" ht="15" customHeight="1">
      <c r="A470" s="26" t="s">
        <v>695</v>
      </c>
      <c r="B470" s="26" t="s">
        <v>659</v>
      </c>
      <c r="C470" t="s">
        <v>696</v>
      </c>
    </row>
    <row r="471" spans="1:3" ht="15" customHeight="1">
      <c r="A471" t="s">
        <v>697</v>
      </c>
      <c r="B471" s="26" t="s">
        <v>659</v>
      </c>
      <c r="C471" t="s">
        <v>698</v>
      </c>
    </row>
    <row r="472" spans="1:3" ht="15" customHeight="1">
      <c r="A472" t="s">
        <v>699</v>
      </c>
      <c r="B472" s="26" t="s">
        <v>659</v>
      </c>
      <c r="C472" t="s">
        <v>700</v>
      </c>
    </row>
    <row r="473" spans="1:3" ht="15" customHeight="1">
      <c r="A473" t="s">
        <v>701</v>
      </c>
      <c r="B473" s="26" t="s">
        <v>659</v>
      </c>
      <c r="C473" t="s">
        <v>702</v>
      </c>
    </row>
    <row r="474" spans="1:3" ht="15" customHeight="1">
      <c r="A474" t="s">
        <v>703</v>
      </c>
      <c r="B474" s="26" t="s">
        <v>659</v>
      </c>
      <c r="C474" t="s">
        <v>704</v>
      </c>
    </row>
    <row r="475" spans="1:3" ht="15" customHeight="1">
      <c r="A475" t="s">
        <v>705</v>
      </c>
      <c r="B475" s="26" t="s">
        <v>659</v>
      </c>
      <c r="C475" t="s">
        <v>706</v>
      </c>
    </row>
    <row r="476" spans="1:3" ht="15" customHeight="1">
      <c r="A476" s="26" t="s">
        <v>707</v>
      </c>
      <c r="B476" s="26" t="s">
        <v>659</v>
      </c>
      <c r="C476" t="s">
        <v>708</v>
      </c>
    </row>
    <row r="477" spans="1:3" ht="15" customHeight="1">
      <c r="A477" s="26" t="s">
        <v>709</v>
      </c>
      <c r="B477" s="26" t="s">
        <v>659</v>
      </c>
      <c r="C477" t="s">
        <v>710</v>
      </c>
    </row>
    <row r="478" spans="1:3" ht="15" customHeight="1">
      <c r="A478" s="26" t="s">
        <v>711</v>
      </c>
      <c r="B478" s="26" t="s">
        <v>659</v>
      </c>
      <c r="C478" t="s">
        <v>712</v>
      </c>
    </row>
    <row r="479" spans="1:3" ht="15" customHeight="1">
      <c r="A479" s="26" t="s">
        <v>713</v>
      </c>
      <c r="B479" s="26" t="s">
        <v>659</v>
      </c>
      <c r="C479" t="s">
        <v>714</v>
      </c>
    </row>
    <row r="480" spans="1:3" ht="15" customHeight="1">
      <c r="A480" s="26" t="s">
        <v>715</v>
      </c>
      <c r="B480" s="26" t="s">
        <v>659</v>
      </c>
      <c r="C480" t="s">
        <v>716</v>
      </c>
    </row>
    <row r="481" spans="1:3" ht="15" customHeight="1">
      <c r="A481" s="26" t="s">
        <v>717</v>
      </c>
      <c r="B481" s="26" t="s">
        <v>659</v>
      </c>
      <c r="C481" t="s">
        <v>718</v>
      </c>
    </row>
    <row r="482" spans="1:3" ht="15" customHeight="1">
      <c r="A482" s="26" t="s">
        <v>719</v>
      </c>
      <c r="B482" s="26" t="s">
        <v>659</v>
      </c>
      <c r="C482" t="s">
        <v>720</v>
      </c>
    </row>
    <row r="483" spans="1:3" ht="15" customHeight="1">
      <c r="A483" s="26" t="s">
        <v>721</v>
      </c>
      <c r="B483" s="26" t="s">
        <v>659</v>
      </c>
      <c r="C483" t="s">
        <v>722</v>
      </c>
    </row>
    <row r="484" spans="1:3" ht="15" customHeight="1">
      <c r="A484" s="26" t="s">
        <v>723</v>
      </c>
      <c r="B484" s="26" t="s">
        <v>659</v>
      </c>
      <c r="C484" t="s">
        <v>724</v>
      </c>
    </row>
    <row r="485" spans="1:3" ht="15" customHeight="1">
      <c r="A485" s="26" t="s">
        <v>2387</v>
      </c>
      <c r="B485" s="26" t="s">
        <v>659</v>
      </c>
      <c r="C485" t="s">
        <v>2388</v>
      </c>
    </row>
    <row r="486" spans="1:3" ht="15" customHeight="1">
      <c r="A486" s="26" t="s">
        <v>2389</v>
      </c>
      <c r="B486" s="26" t="s">
        <v>659</v>
      </c>
      <c r="C486" t="s">
        <v>2390</v>
      </c>
    </row>
    <row r="487" spans="1:3" ht="15" customHeight="1">
      <c r="A487" s="26" t="s">
        <v>2391</v>
      </c>
      <c r="B487" s="26" t="s">
        <v>728</v>
      </c>
      <c r="C487" t="s">
        <v>2392</v>
      </c>
    </row>
    <row r="488" spans="1:3" ht="15" customHeight="1">
      <c r="A488" s="26" t="s">
        <v>2393</v>
      </c>
      <c r="B488" s="26" t="s">
        <v>728</v>
      </c>
      <c r="C488" t="s">
        <v>2394</v>
      </c>
    </row>
    <row r="489" spans="1:3" ht="15" customHeight="1">
      <c r="A489" s="26" t="s">
        <v>2395</v>
      </c>
      <c r="B489" s="26" t="s">
        <v>728</v>
      </c>
      <c r="C489" t="s">
        <v>2396</v>
      </c>
    </row>
    <row r="490" spans="1:3" ht="15" customHeight="1">
      <c r="A490" s="26" t="s">
        <v>2397</v>
      </c>
      <c r="B490" s="26" t="s">
        <v>728</v>
      </c>
      <c r="C490" t="s">
        <v>2398</v>
      </c>
    </row>
    <row r="491" spans="1:3" ht="15" customHeight="1">
      <c r="A491" s="26" t="s">
        <v>2399</v>
      </c>
      <c r="B491" s="26" t="s">
        <v>728</v>
      </c>
      <c r="C491" t="s">
        <v>2400</v>
      </c>
    </row>
    <row r="492" spans="1:3" ht="15" customHeight="1">
      <c r="A492" s="26" t="s">
        <v>2401</v>
      </c>
      <c r="B492" s="26" t="s">
        <v>728</v>
      </c>
      <c r="C492" t="s">
        <v>2402</v>
      </c>
    </row>
    <row r="493" spans="1:3" ht="15" customHeight="1">
      <c r="A493" s="26" t="s">
        <v>2403</v>
      </c>
      <c r="B493" s="26" t="s">
        <v>728</v>
      </c>
      <c r="C493" t="s">
        <v>2404</v>
      </c>
    </row>
    <row r="494" spans="1:3" ht="15" customHeight="1">
      <c r="A494" s="26" t="s">
        <v>2405</v>
      </c>
      <c r="B494" s="26" t="s">
        <v>728</v>
      </c>
      <c r="C494" t="s">
        <v>2406</v>
      </c>
    </row>
    <row r="495" spans="1:3" ht="15" customHeight="1">
      <c r="A495" s="26" t="s">
        <v>2407</v>
      </c>
      <c r="B495" s="26" t="s">
        <v>728</v>
      </c>
      <c r="C495" t="s">
        <v>2408</v>
      </c>
    </row>
    <row r="496" spans="1:3" ht="15" customHeight="1">
      <c r="A496" s="26" t="s">
        <v>2409</v>
      </c>
      <c r="B496" s="26" t="s">
        <v>728</v>
      </c>
      <c r="C496" t="s">
        <v>2410</v>
      </c>
    </row>
    <row r="497" spans="1:3" ht="15" customHeight="1">
      <c r="A497" s="26" t="s">
        <v>2411</v>
      </c>
      <c r="B497" s="26" t="s">
        <v>728</v>
      </c>
      <c r="C497" t="s">
        <v>2412</v>
      </c>
    </row>
    <row r="498" spans="1:3" ht="15" customHeight="1">
      <c r="A498" s="26" t="s">
        <v>2413</v>
      </c>
      <c r="B498" s="26" t="s">
        <v>728</v>
      </c>
      <c r="C498" t="s">
        <v>2414</v>
      </c>
    </row>
    <row r="499" spans="1:3" ht="15" customHeight="1">
      <c r="A499" s="26" t="s">
        <v>2415</v>
      </c>
      <c r="B499" s="26" t="s">
        <v>728</v>
      </c>
      <c r="C499" t="s">
        <v>2416</v>
      </c>
    </row>
    <row r="500" spans="1:3" ht="15" customHeight="1">
      <c r="A500" s="26" t="s">
        <v>2417</v>
      </c>
      <c r="B500" s="26" t="s">
        <v>728</v>
      </c>
      <c r="C500" t="s">
        <v>2418</v>
      </c>
    </row>
    <row r="501" spans="1:3" ht="15" customHeight="1">
      <c r="A501" s="26" t="s">
        <v>2419</v>
      </c>
      <c r="B501" s="26" t="s">
        <v>728</v>
      </c>
      <c r="C501" t="s">
        <v>2420</v>
      </c>
    </row>
    <row r="502" spans="1:3" ht="15" customHeight="1">
      <c r="A502" s="26" t="s">
        <v>2421</v>
      </c>
      <c r="B502" s="26" t="s">
        <v>728</v>
      </c>
      <c r="C502" t="s">
        <v>2422</v>
      </c>
    </row>
    <row r="503" spans="1:3" ht="15" customHeight="1">
      <c r="A503" s="26" t="s">
        <v>2423</v>
      </c>
      <c r="B503" s="26" t="s">
        <v>728</v>
      </c>
      <c r="C503" t="s">
        <v>2424</v>
      </c>
    </row>
    <row r="504" spans="1:3" ht="15" customHeight="1">
      <c r="A504" s="26" t="s">
        <v>2425</v>
      </c>
      <c r="B504" s="26" t="s">
        <v>728</v>
      </c>
      <c r="C504" t="s">
        <v>2426</v>
      </c>
    </row>
    <row r="505" spans="1:3" ht="15" customHeight="1">
      <c r="A505" s="26" t="s">
        <v>2427</v>
      </c>
      <c r="B505" s="26" t="s">
        <v>728</v>
      </c>
      <c r="C505" t="s">
        <v>2428</v>
      </c>
    </row>
    <row r="506" spans="1:3" ht="15" customHeight="1">
      <c r="A506" s="26" t="s">
        <v>2429</v>
      </c>
      <c r="B506" s="26" t="s">
        <v>728</v>
      </c>
      <c r="C506" t="s">
        <v>2430</v>
      </c>
    </row>
    <row r="507" spans="1:3" ht="15" customHeight="1">
      <c r="A507" s="26" t="s">
        <v>2431</v>
      </c>
      <c r="B507" s="26" t="s">
        <v>749</v>
      </c>
      <c r="C507" t="s">
        <v>2432</v>
      </c>
    </row>
    <row r="508" spans="1:3" ht="15" customHeight="1">
      <c r="A508" s="26" t="s">
        <v>2433</v>
      </c>
      <c r="B508" s="26" t="s">
        <v>749</v>
      </c>
      <c r="C508" t="s">
        <v>2434</v>
      </c>
    </row>
    <row r="509" spans="1:3" ht="15" customHeight="1">
      <c r="A509" s="26" t="s">
        <v>2435</v>
      </c>
      <c r="B509" s="26" t="s">
        <v>749</v>
      </c>
      <c r="C509" t="s">
        <v>2436</v>
      </c>
    </row>
    <row r="510" spans="1:3" ht="15" customHeight="1">
      <c r="A510" s="26" t="s">
        <v>2437</v>
      </c>
      <c r="B510" s="26" t="s">
        <v>749</v>
      </c>
      <c r="C510" t="s">
        <v>2438</v>
      </c>
    </row>
    <row r="511" spans="1:3" ht="15" customHeight="1">
      <c r="A511" s="26" t="s">
        <v>2439</v>
      </c>
      <c r="B511" s="26" t="s">
        <v>749</v>
      </c>
      <c r="C511" t="s">
        <v>2440</v>
      </c>
    </row>
    <row r="512" spans="1:3" ht="15" customHeight="1">
      <c r="A512" s="26" t="s">
        <v>2441</v>
      </c>
      <c r="B512" s="26" t="s">
        <v>749</v>
      </c>
      <c r="C512" t="s">
        <v>2442</v>
      </c>
    </row>
    <row r="513" spans="1:3" ht="15" customHeight="1">
      <c r="A513" s="26" t="s">
        <v>2443</v>
      </c>
      <c r="B513" s="26" t="s">
        <v>749</v>
      </c>
      <c r="C513" t="s">
        <v>2444</v>
      </c>
    </row>
    <row r="514" spans="1:3" ht="15" customHeight="1">
      <c r="A514" s="26" t="s">
        <v>2445</v>
      </c>
      <c r="B514" s="26" t="s">
        <v>749</v>
      </c>
      <c r="C514" t="s">
        <v>2446</v>
      </c>
    </row>
    <row r="515" spans="1:3" ht="15" customHeight="1">
      <c r="A515" s="26" t="s">
        <v>2447</v>
      </c>
      <c r="B515" s="26" t="s">
        <v>749</v>
      </c>
      <c r="C515" t="s">
        <v>2448</v>
      </c>
    </row>
    <row r="516" spans="1:3" ht="15" customHeight="1">
      <c r="A516" s="26" t="s">
        <v>2449</v>
      </c>
      <c r="B516" s="26" t="s">
        <v>749</v>
      </c>
      <c r="C516" t="s">
        <v>2450</v>
      </c>
    </row>
    <row r="517" spans="1:3" ht="15" customHeight="1">
      <c r="A517" s="26" t="s">
        <v>2451</v>
      </c>
      <c r="B517" s="26" t="s">
        <v>749</v>
      </c>
      <c r="C517" t="s">
        <v>2452</v>
      </c>
    </row>
    <row r="518" spans="1:3" ht="15" customHeight="1">
      <c r="A518" s="26" t="s">
        <v>2453</v>
      </c>
      <c r="B518" s="26" t="s">
        <v>749</v>
      </c>
      <c r="C518" t="s">
        <v>2454</v>
      </c>
    </row>
    <row r="519" spans="1:3" ht="15" customHeight="1">
      <c r="A519" s="26" t="s">
        <v>2455</v>
      </c>
      <c r="B519" s="26" t="s">
        <v>749</v>
      </c>
      <c r="C519" t="s">
        <v>2456</v>
      </c>
    </row>
    <row r="520" spans="1:3" ht="15" customHeight="1">
      <c r="A520" s="26" t="s">
        <v>2457</v>
      </c>
      <c r="B520" s="26" t="s">
        <v>749</v>
      </c>
      <c r="C520" t="s">
        <v>2458</v>
      </c>
    </row>
    <row r="521" spans="1:3" ht="15" customHeight="1">
      <c r="A521" s="26" t="s">
        <v>2459</v>
      </c>
      <c r="B521" s="26" t="s">
        <v>749</v>
      </c>
      <c r="C521" t="s">
        <v>2460</v>
      </c>
    </row>
    <row r="522" spans="1:3" ht="15" customHeight="1">
      <c r="A522" s="26" t="s">
        <v>2461</v>
      </c>
      <c r="B522" s="26" t="s">
        <v>749</v>
      </c>
      <c r="C522" t="s">
        <v>2462</v>
      </c>
    </row>
    <row r="523" spans="1:3" ht="15" customHeight="1">
      <c r="A523" s="26" t="s">
        <v>2463</v>
      </c>
      <c r="B523" s="26" t="s">
        <v>749</v>
      </c>
      <c r="C523" t="s">
        <v>2464</v>
      </c>
    </row>
    <row r="524" spans="1:3" ht="15" customHeight="1">
      <c r="A524" s="26" t="s">
        <v>2465</v>
      </c>
      <c r="B524" s="26" t="s">
        <v>749</v>
      </c>
      <c r="C524" t="s">
        <v>2466</v>
      </c>
    </row>
    <row r="525" spans="1:3" ht="15" customHeight="1">
      <c r="A525" s="26" t="s">
        <v>2467</v>
      </c>
      <c r="B525" s="26" t="s">
        <v>749</v>
      </c>
      <c r="C525" t="s">
        <v>2468</v>
      </c>
    </row>
    <row r="526" spans="1:3" ht="15" customHeight="1">
      <c r="A526" s="26" t="s">
        <v>2469</v>
      </c>
      <c r="B526" s="26" t="s">
        <v>749</v>
      </c>
      <c r="C526" t="s">
        <v>2470</v>
      </c>
    </row>
    <row r="527" spans="1:3" ht="15" customHeight="1">
      <c r="A527" s="26" t="s">
        <v>2471</v>
      </c>
      <c r="B527" s="26" t="s">
        <v>770</v>
      </c>
      <c r="C527" t="s">
        <v>2472</v>
      </c>
    </row>
    <row r="528" spans="1:3" ht="15" customHeight="1">
      <c r="A528" s="26" t="s">
        <v>2473</v>
      </c>
      <c r="B528" s="26" t="s">
        <v>770</v>
      </c>
      <c r="C528" t="s">
        <v>2474</v>
      </c>
    </row>
    <row r="529" spans="1:3" ht="15" customHeight="1">
      <c r="A529" s="26" t="s">
        <v>2475</v>
      </c>
      <c r="B529" s="26" t="s">
        <v>770</v>
      </c>
      <c r="C529" t="s">
        <v>2476</v>
      </c>
    </row>
    <row r="530" spans="1:3" ht="15" customHeight="1">
      <c r="A530" s="26" t="s">
        <v>2477</v>
      </c>
      <c r="B530" s="26" t="s">
        <v>770</v>
      </c>
      <c r="C530" t="s">
        <v>2478</v>
      </c>
    </row>
    <row r="531" spans="1:3" ht="15" customHeight="1">
      <c r="A531" s="26" t="s">
        <v>2479</v>
      </c>
      <c r="B531" s="26" t="s">
        <v>775</v>
      </c>
      <c r="C531" t="s">
        <v>2480</v>
      </c>
    </row>
    <row r="532" spans="1:3" ht="15" customHeight="1">
      <c r="A532" s="26" t="s">
        <v>2481</v>
      </c>
      <c r="B532" s="26" t="s">
        <v>775</v>
      </c>
      <c r="C532" t="s">
        <v>2482</v>
      </c>
    </row>
    <row r="533" spans="1:3" ht="15" customHeight="1">
      <c r="A533" s="26" t="s">
        <v>2483</v>
      </c>
      <c r="B533" s="26" t="s">
        <v>775</v>
      </c>
      <c r="C533" t="s">
        <v>2484</v>
      </c>
    </row>
    <row r="534" spans="1:3" ht="15" customHeight="1">
      <c r="A534" s="26" t="s">
        <v>2485</v>
      </c>
      <c r="B534" s="26" t="s">
        <v>775</v>
      </c>
      <c r="C534" t="s">
        <v>2486</v>
      </c>
    </row>
    <row r="535" spans="1:3" ht="15" customHeight="1">
      <c r="A535" s="26" t="s">
        <v>2487</v>
      </c>
      <c r="B535" s="26" t="s">
        <v>780</v>
      </c>
      <c r="C535" t="s">
        <v>2488</v>
      </c>
    </row>
    <row r="536" spans="1:3" ht="15" customHeight="1">
      <c r="A536" s="26" t="s">
        <v>2489</v>
      </c>
      <c r="B536" s="26" t="s">
        <v>780</v>
      </c>
      <c r="C536" t="s">
        <v>2490</v>
      </c>
    </row>
    <row r="537" spans="1:3" ht="15" customHeight="1">
      <c r="A537" s="26" t="s">
        <v>782</v>
      </c>
      <c r="B537" s="26" t="s">
        <v>780</v>
      </c>
      <c r="C537" t="s">
        <v>2491</v>
      </c>
    </row>
    <row r="538" spans="1:3" ht="15" customHeight="1">
      <c r="A538" s="26" t="s">
        <v>2492</v>
      </c>
      <c r="B538" s="26" t="s">
        <v>780</v>
      </c>
      <c r="C538" t="s">
        <v>2493</v>
      </c>
    </row>
    <row r="539" spans="1:3" ht="15" customHeight="1">
      <c r="A539" s="26" t="s">
        <v>2494</v>
      </c>
      <c r="B539" s="26" t="s">
        <v>780</v>
      </c>
      <c r="C539" t="s">
        <v>2495</v>
      </c>
    </row>
    <row r="540" spans="1:3" ht="15" customHeight="1">
      <c r="A540" s="26" t="s">
        <v>786</v>
      </c>
      <c r="B540" s="26" t="s">
        <v>780</v>
      </c>
      <c r="C540" t="s">
        <v>2496</v>
      </c>
    </row>
    <row r="541" spans="1:3" ht="15" customHeight="1">
      <c r="A541" s="26" t="s">
        <v>2497</v>
      </c>
      <c r="B541" s="26" t="s">
        <v>789</v>
      </c>
      <c r="C541" t="s">
        <v>2498</v>
      </c>
    </row>
    <row r="542" spans="1:3" ht="15" customHeight="1">
      <c r="A542" s="26" t="s">
        <v>2499</v>
      </c>
      <c r="B542" s="26" t="s">
        <v>789</v>
      </c>
      <c r="C542" t="s">
        <v>2500</v>
      </c>
    </row>
    <row r="543" spans="1:3" ht="15" customHeight="1">
      <c r="A543" s="26" t="s">
        <v>2501</v>
      </c>
      <c r="B543" s="26" t="s">
        <v>789</v>
      </c>
      <c r="C543" t="s">
        <v>2502</v>
      </c>
    </row>
    <row r="544" spans="1:3" ht="15" customHeight="1">
      <c r="A544" s="26" t="s">
        <v>2503</v>
      </c>
      <c r="B544" s="26" t="s">
        <v>789</v>
      </c>
      <c r="C544" t="s">
        <v>2504</v>
      </c>
    </row>
    <row r="545" spans="1:3" ht="15" customHeight="1">
      <c r="A545" s="26" t="s">
        <v>2505</v>
      </c>
      <c r="B545" s="26" t="s">
        <v>789</v>
      </c>
      <c r="C545" t="s">
        <v>2506</v>
      </c>
    </row>
    <row r="546" spans="1:3" ht="15" customHeight="1">
      <c r="A546" s="26" t="s">
        <v>2507</v>
      </c>
      <c r="B546" s="26" t="s">
        <v>789</v>
      </c>
      <c r="C546" t="s">
        <v>2508</v>
      </c>
    </row>
    <row r="547" spans="1:3" ht="15" customHeight="1">
      <c r="A547" s="26" t="s">
        <v>2509</v>
      </c>
      <c r="B547" s="26" t="s">
        <v>789</v>
      </c>
      <c r="C547" t="s">
        <v>2510</v>
      </c>
    </row>
    <row r="548" spans="1:3" ht="15" customHeight="1">
      <c r="A548" s="26" t="s">
        <v>2511</v>
      </c>
      <c r="B548" s="26" t="s">
        <v>789</v>
      </c>
      <c r="C548" t="s">
        <v>2512</v>
      </c>
    </row>
    <row r="549" spans="1:3" ht="15" customHeight="1">
      <c r="A549" s="26" t="s">
        <v>2513</v>
      </c>
      <c r="B549" s="26" t="s">
        <v>789</v>
      </c>
      <c r="C549" t="s">
        <v>2514</v>
      </c>
    </row>
    <row r="550" spans="1:3" ht="15" customHeight="1">
      <c r="A550" s="26" t="s">
        <v>2515</v>
      </c>
      <c r="B550" s="26" t="s">
        <v>789</v>
      </c>
      <c r="C550" t="s">
        <v>2516</v>
      </c>
    </row>
    <row r="551" spans="1:3" ht="15" customHeight="1">
      <c r="A551" s="26" t="s">
        <v>799</v>
      </c>
      <c r="B551" s="26" t="s">
        <v>800</v>
      </c>
      <c r="C551" t="s">
        <v>801</v>
      </c>
    </row>
    <row r="552" spans="1:3" ht="15" customHeight="1">
      <c r="A552" s="26" t="s">
        <v>802</v>
      </c>
      <c r="B552" s="26" t="s">
        <v>800</v>
      </c>
      <c r="C552" t="s">
        <v>803</v>
      </c>
    </row>
    <row r="553" spans="1:3" ht="15" customHeight="1">
      <c r="A553" s="26" t="s">
        <v>804</v>
      </c>
      <c r="B553" s="26" t="s">
        <v>800</v>
      </c>
      <c r="C553" t="s">
        <v>805</v>
      </c>
    </row>
    <row r="554" spans="1:3" ht="15" customHeight="1">
      <c r="A554" s="26" t="s">
        <v>806</v>
      </c>
      <c r="B554" s="26" t="s">
        <v>800</v>
      </c>
      <c r="C554" t="s">
        <v>807</v>
      </c>
    </row>
    <row r="555" spans="1:3" ht="15" customHeight="1">
      <c r="A555" s="26" t="s">
        <v>808</v>
      </c>
      <c r="B555" s="26" t="s">
        <v>800</v>
      </c>
      <c r="C555" t="s">
        <v>809</v>
      </c>
    </row>
    <row r="556" spans="1:3" ht="15" customHeight="1">
      <c r="A556" s="26" t="s">
        <v>810</v>
      </c>
      <c r="B556" s="26" t="s">
        <v>800</v>
      </c>
      <c r="C556" t="s">
        <v>811</v>
      </c>
    </row>
    <row r="557" spans="1:3" ht="15" customHeight="1">
      <c r="A557" s="26" t="s">
        <v>812</v>
      </c>
      <c r="B557" s="26" t="s">
        <v>813</v>
      </c>
      <c r="C557" t="s">
        <v>814</v>
      </c>
    </row>
    <row r="558" spans="1:3" ht="15" customHeight="1">
      <c r="A558" s="26" t="s">
        <v>815</v>
      </c>
      <c r="B558" s="26" t="s">
        <v>813</v>
      </c>
      <c r="C558" t="s">
        <v>816</v>
      </c>
    </row>
    <row r="559" spans="1:3" ht="15" customHeight="1">
      <c r="A559" s="26" t="s">
        <v>817</v>
      </c>
      <c r="B559" s="26" t="s">
        <v>813</v>
      </c>
      <c r="C559" t="s">
        <v>818</v>
      </c>
    </row>
    <row r="560" spans="1:3" ht="15" customHeight="1">
      <c r="A560" s="26" t="s">
        <v>819</v>
      </c>
      <c r="B560" s="26" t="s">
        <v>813</v>
      </c>
      <c r="C560" t="s">
        <v>820</v>
      </c>
    </row>
    <row r="561" spans="1:3" ht="15" customHeight="1">
      <c r="A561" s="26" t="s">
        <v>821</v>
      </c>
      <c r="B561" s="26" t="s">
        <v>813</v>
      </c>
      <c r="C561" t="s">
        <v>822</v>
      </c>
    </row>
    <row r="562" spans="1:3" ht="15" customHeight="1">
      <c r="A562" s="26" t="s">
        <v>823</v>
      </c>
      <c r="B562" s="26" t="s">
        <v>813</v>
      </c>
      <c r="C562" t="s">
        <v>824</v>
      </c>
    </row>
    <row r="563" spans="1:3" ht="15" customHeight="1">
      <c r="A563" s="26" t="s">
        <v>825</v>
      </c>
      <c r="B563" s="26" t="s">
        <v>826</v>
      </c>
      <c r="C563" t="s">
        <v>827</v>
      </c>
    </row>
    <row r="564" spans="1:3" ht="15" customHeight="1">
      <c r="A564" s="26" t="s">
        <v>828</v>
      </c>
      <c r="B564" s="26" t="s">
        <v>826</v>
      </c>
      <c r="C564" t="s">
        <v>829</v>
      </c>
    </row>
    <row r="565" spans="1:3" ht="15" customHeight="1">
      <c r="A565" s="26" t="s">
        <v>830</v>
      </c>
      <c r="B565" s="26" t="s">
        <v>826</v>
      </c>
      <c r="C565" t="s">
        <v>831</v>
      </c>
    </row>
    <row r="566" spans="1:3" ht="15" customHeight="1">
      <c r="A566" s="26" t="s">
        <v>832</v>
      </c>
      <c r="B566" s="26" t="s">
        <v>826</v>
      </c>
      <c r="C566" t="s">
        <v>833</v>
      </c>
    </row>
    <row r="567" spans="1:3" ht="15" customHeight="1">
      <c r="A567" s="26" t="s">
        <v>834</v>
      </c>
      <c r="B567" s="26" t="s">
        <v>826</v>
      </c>
      <c r="C567" t="s">
        <v>835</v>
      </c>
    </row>
    <row r="568" spans="1:3" ht="15" customHeight="1">
      <c r="A568" s="26" t="s">
        <v>836</v>
      </c>
      <c r="B568" s="26" t="s">
        <v>826</v>
      </c>
      <c r="C568" t="s">
        <v>837</v>
      </c>
    </row>
    <row r="569" spans="1:3" ht="15" customHeight="1">
      <c r="A569" s="26" t="s">
        <v>838</v>
      </c>
      <c r="B569" s="26" t="s">
        <v>839</v>
      </c>
      <c r="C569" t="s">
        <v>840</v>
      </c>
    </row>
    <row r="570" spans="1:3" ht="15" customHeight="1">
      <c r="A570" s="26" t="s">
        <v>841</v>
      </c>
      <c r="B570" s="26" t="s">
        <v>839</v>
      </c>
      <c r="C570" t="s">
        <v>842</v>
      </c>
    </row>
    <row r="571" spans="1:3" ht="15" customHeight="1">
      <c r="A571" s="26" t="s">
        <v>843</v>
      </c>
      <c r="B571" s="26" t="s">
        <v>839</v>
      </c>
      <c r="C571" t="s">
        <v>844</v>
      </c>
    </row>
    <row r="572" spans="1:3" ht="15" customHeight="1">
      <c r="A572" s="26" t="s">
        <v>845</v>
      </c>
      <c r="B572" s="26" t="s">
        <v>839</v>
      </c>
      <c r="C572" t="s">
        <v>846</v>
      </c>
    </row>
    <row r="573" spans="1:3" ht="15" customHeight="1">
      <c r="A573" s="26" t="s">
        <v>847</v>
      </c>
      <c r="B573" s="26" t="s">
        <v>848</v>
      </c>
      <c r="C573" t="s">
        <v>849</v>
      </c>
    </row>
    <row r="574" spans="1:3" ht="15" customHeight="1">
      <c r="A574" s="26" t="s">
        <v>850</v>
      </c>
      <c r="B574" s="26" t="s">
        <v>848</v>
      </c>
      <c r="C574" t="s">
        <v>851</v>
      </c>
    </row>
    <row r="575" spans="1:3" ht="15" customHeight="1">
      <c r="A575" s="26" t="s">
        <v>852</v>
      </c>
      <c r="B575" s="26" t="s">
        <v>848</v>
      </c>
      <c r="C575" t="s">
        <v>853</v>
      </c>
    </row>
    <row r="576" spans="1:3" ht="15" customHeight="1">
      <c r="A576" s="26" t="s">
        <v>854</v>
      </c>
      <c r="B576" s="26" t="s">
        <v>855</v>
      </c>
      <c r="C576" t="s">
        <v>856</v>
      </c>
    </row>
    <row r="577" spans="1:3" ht="15" customHeight="1">
      <c r="A577" s="26" t="s">
        <v>857</v>
      </c>
      <c r="B577" s="26" t="s">
        <v>855</v>
      </c>
      <c r="C577" t="s">
        <v>858</v>
      </c>
    </row>
    <row r="578" spans="1:3" ht="15" customHeight="1">
      <c r="A578" s="26" t="s">
        <v>859</v>
      </c>
      <c r="B578" s="26" t="s">
        <v>855</v>
      </c>
      <c r="C578" t="s">
        <v>860</v>
      </c>
    </row>
    <row r="579" spans="1:3" ht="15" customHeight="1">
      <c r="A579" s="26" t="s">
        <v>861</v>
      </c>
      <c r="B579" s="26" t="s">
        <v>862</v>
      </c>
      <c r="C579" t="s">
        <v>863</v>
      </c>
    </row>
    <row r="580" spans="1:3" ht="15" customHeight="1">
      <c r="A580" s="26" t="s">
        <v>864</v>
      </c>
      <c r="B580" s="26" t="s">
        <v>862</v>
      </c>
      <c r="C580" t="s">
        <v>865</v>
      </c>
    </row>
    <row r="581" spans="1:3" ht="15" customHeight="1">
      <c r="A581" s="26" t="s">
        <v>866</v>
      </c>
      <c r="B581" s="26" t="s">
        <v>862</v>
      </c>
      <c r="C581" t="s">
        <v>867</v>
      </c>
    </row>
    <row r="582" spans="1:3" ht="15" customHeight="1">
      <c r="A582" s="26" t="s">
        <v>868</v>
      </c>
      <c r="B582" s="26" t="s">
        <v>862</v>
      </c>
      <c r="C582" t="s">
        <v>869</v>
      </c>
    </row>
    <row r="583" spans="1:3" ht="15" customHeight="1">
      <c r="A583" s="26" t="s">
        <v>870</v>
      </c>
      <c r="B583" s="26" t="s">
        <v>862</v>
      </c>
      <c r="C583" t="s">
        <v>871</v>
      </c>
    </row>
    <row r="584" spans="1:3" ht="15" customHeight="1">
      <c r="A584" s="26" t="s">
        <v>872</v>
      </c>
      <c r="B584" s="26" t="s">
        <v>862</v>
      </c>
      <c r="C584" t="s">
        <v>873</v>
      </c>
    </row>
    <row r="585" spans="1:3" ht="15" customHeight="1">
      <c r="A585" s="26" t="s">
        <v>874</v>
      </c>
      <c r="B585" s="26" t="s">
        <v>862</v>
      </c>
      <c r="C585" t="s">
        <v>875</v>
      </c>
    </row>
    <row r="586" spans="1:3" ht="15" customHeight="1">
      <c r="A586" s="26" t="s">
        <v>876</v>
      </c>
      <c r="B586" s="26" t="s">
        <v>877</v>
      </c>
      <c r="C586" t="s">
        <v>878</v>
      </c>
    </row>
    <row r="587" spans="1:3" ht="15" customHeight="1">
      <c r="A587" s="26" t="s">
        <v>879</v>
      </c>
      <c r="B587" s="26" t="s">
        <v>877</v>
      </c>
      <c r="C587" t="s">
        <v>880</v>
      </c>
    </row>
    <row r="588" spans="1:3" ht="15" customHeight="1">
      <c r="A588" s="26" t="s">
        <v>881</v>
      </c>
      <c r="B588" s="26" t="s">
        <v>877</v>
      </c>
      <c r="C588" t="s">
        <v>882</v>
      </c>
    </row>
    <row r="589" spans="1:3" ht="15" customHeight="1">
      <c r="A589" s="26" t="s">
        <v>883</v>
      </c>
      <c r="B589" s="26" t="s">
        <v>877</v>
      </c>
      <c r="C589" t="s">
        <v>884</v>
      </c>
    </row>
    <row r="590" spans="1:3" ht="15" customHeight="1">
      <c r="A590" s="26" t="s">
        <v>885</v>
      </c>
      <c r="B590" s="26" t="s">
        <v>886</v>
      </c>
      <c r="C590" t="s">
        <v>887</v>
      </c>
    </row>
    <row r="591" spans="1:3" ht="15" customHeight="1">
      <c r="A591" s="26" t="s">
        <v>888</v>
      </c>
      <c r="B591" s="26" t="s">
        <v>889</v>
      </c>
      <c r="C591" t="s">
        <v>890</v>
      </c>
    </row>
    <row r="592" spans="1:3" ht="15" customHeight="1">
      <c r="A592" s="26" t="s">
        <v>891</v>
      </c>
      <c r="B592" s="26" t="s">
        <v>889</v>
      </c>
      <c r="C592" t="s">
        <v>892</v>
      </c>
    </row>
    <row r="593" spans="1:3" ht="15" customHeight="1">
      <c r="A593" s="26" t="s">
        <v>893</v>
      </c>
      <c r="B593" s="26" t="s">
        <v>889</v>
      </c>
      <c r="C593" t="s">
        <v>894</v>
      </c>
    </row>
    <row r="594" spans="1:3" ht="15" customHeight="1">
      <c r="A594" s="26" t="s">
        <v>895</v>
      </c>
      <c r="B594" s="26" t="s">
        <v>896</v>
      </c>
      <c r="C594" t="s">
        <v>897</v>
      </c>
    </row>
    <row r="595" spans="1:3" ht="15" customHeight="1">
      <c r="A595" s="26" t="s">
        <v>898</v>
      </c>
      <c r="B595" s="26" t="s">
        <v>896</v>
      </c>
      <c r="C595" t="s">
        <v>899</v>
      </c>
    </row>
    <row r="596" spans="1:3" ht="15" customHeight="1">
      <c r="A596" s="26" t="s">
        <v>900</v>
      </c>
      <c r="B596" s="26" t="s">
        <v>896</v>
      </c>
      <c r="C596" t="s">
        <v>901</v>
      </c>
    </row>
    <row r="597" spans="1:3" ht="15" customHeight="1">
      <c r="A597" s="26" t="s">
        <v>902</v>
      </c>
      <c r="B597" s="26" t="s">
        <v>896</v>
      </c>
      <c r="C597" t="s">
        <v>903</v>
      </c>
    </row>
    <row r="598" spans="1:3" ht="15" customHeight="1">
      <c r="A598" s="26" t="s">
        <v>904</v>
      </c>
      <c r="B598" s="26" t="s">
        <v>896</v>
      </c>
      <c r="C598" t="s">
        <v>905</v>
      </c>
    </row>
    <row r="599" spans="1:3" ht="15" customHeight="1">
      <c r="A599" s="26" t="s">
        <v>906</v>
      </c>
      <c r="B599" s="26" t="s">
        <v>896</v>
      </c>
      <c r="C599" t="s">
        <v>907</v>
      </c>
    </row>
    <row r="600" spans="1:3" ht="15" customHeight="1">
      <c r="A600" s="26" t="s">
        <v>908</v>
      </c>
      <c r="B600" s="26" t="s">
        <v>896</v>
      </c>
      <c r="C600" t="s">
        <v>909</v>
      </c>
    </row>
    <row r="601" spans="1:3" ht="15" customHeight="1">
      <c r="A601" s="26" t="s">
        <v>910</v>
      </c>
      <c r="B601" s="26" t="s">
        <v>896</v>
      </c>
      <c r="C601" t="s">
        <v>911</v>
      </c>
    </row>
    <row r="602" spans="1:3" ht="15" customHeight="1">
      <c r="A602" s="26" t="s">
        <v>912</v>
      </c>
      <c r="B602" s="26" t="s">
        <v>896</v>
      </c>
      <c r="C602" t="s">
        <v>913</v>
      </c>
    </row>
    <row r="603" spans="1:3" ht="15" customHeight="1">
      <c r="A603" s="26" t="s">
        <v>914</v>
      </c>
      <c r="B603" s="26" t="s">
        <v>896</v>
      </c>
      <c r="C603" t="s">
        <v>915</v>
      </c>
    </row>
    <row r="604" spans="1:3" ht="15" customHeight="1">
      <c r="A604" s="26" t="s">
        <v>916</v>
      </c>
      <c r="B604" s="26" t="s">
        <v>896</v>
      </c>
      <c r="C604" t="s">
        <v>917</v>
      </c>
    </row>
    <row r="605" spans="1:3" ht="15" customHeight="1">
      <c r="A605" s="26" t="s">
        <v>918</v>
      </c>
      <c r="B605" s="26" t="s">
        <v>896</v>
      </c>
      <c r="C605" t="s">
        <v>919</v>
      </c>
    </row>
    <row r="606" spans="1:3" ht="15" customHeight="1">
      <c r="A606" s="26" t="s">
        <v>920</v>
      </c>
      <c r="B606" s="26" t="s">
        <v>921</v>
      </c>
      <c r="C606" t="s">
        <v>922</v>
      </c>
    </row>
    <row r="607" spans="1:3" ht="15" customHeight="1">
      <c r="A607" s="26" t="s">
        <v>923</v>
      </c>
      <c r="B607" s="26" t="s">
        <v>921</v>
      </c>
      <c r="C607" t="s">
        <v>924</v>
      </c>
    </row>
    <row r="608" spans="1:3" ht="15" customHeight="1">
      <c r="A608" s="26" t="s">
        <v>925</v>
      </c>
      <c r="B608" s="26" t="s">
        <v>921</v>
      </c>
      <c r="C608" t="s">
        <v>926</v>
      </c>
    </row>
    <row r="609" spans="1:3" ht="15" customHeight="1">
      <c r="A609" s="26" t="s">
        <v>927</v>
      </c>
      <c r="B609" s="26" t="s">
        <v>921</v>
      </c>
      <c r="C609" t="s">
        <v>928</v>
      </c>
    </row>
    <row r="610" spans="1:3" ht="15" customHeight="1">
      <c r="A610" s="26" t="s">
        <v>929</v>
      </c>
      <c r="B610" s="26" t="s">
        <v>921</v>
      </c>
      <c r="C610" t="s">
        <v>930</v>
      </c>
    </row>
    <row r="611" spans="1:3" ht="15" customHeight="1">
      <c r="A611" s="26" t="s">
        <v>931</v>
      </c>
      <c r="B611" s="26" t="s">
        <v>932</v>
      </c>
      <c r="C611" t="s">
        <v>933</v>
      </c>
    </row>
    <row r="612" spans="1:3" ht="15" customHeight="1">
      <c r="A612" s="26" t="s">
        <v>934</v>
      </c>
      <c r="B612" s="26" t="s">
        <v>932</v>
      </c>
      <c r="C612" t="s">
        <v>935</v>
      </c>
    </row>
    <row r="613" spans="1:3" ht="15" customHeight="1">
      <c r="A613" s="26" t="s">
        <v>936</v>
      </c>
      <c r="B613" s="26" t="s">
        <v>932</v>
      </c>
      <c r="C613" t="s">
        <v>937</v>
      </c>
    </row>
    <row r="614" spans="1:3" ht="15" customHeight="1">
      <c r="A614" s="26" t="s">
        <v>938</v>
      </c>
      <c r="B614" s="26" t="s">
        <v>932</v>
      </c>
      <c r="C614" t="s">
        <v>939</v>
      </c>
    </row>
    <row r="615" spans="1:3" ht="15" customHeight="1">
      <c r="A615" s="26" t="s">
        <v>940</v>
      </c>
      <c r="B615" s="26" t="s">
        <v>932</v>
      </c>
      <c r="C615" t="s">
        <v>941</v>
      </c>
    </row>
    <row r="616" spans="1:3" ht="15" customHeight="1">
      <c r="A616" s="26" t="s">
        <v>942</v>
      </c>
      <c r="B616" s="26" t="s">
        <v>943</v>
      </c>
      <c r="C616" t="s">
        <v>2517</v>
      </c>
    </row>
    <row r="617" spans="1:3" ht="15" customHeight="1">
      <c r="A617" s="26" t="s">
        <v>945</v>
      </c>
      <c r="B617" s="26" t="s">
        <v>943</v>
      </c>
      <c r="C617" t="s">
        <v>2518</v>
      </c>
    </row>
    <row r="618" spans="1:3" ht="15" customHeight="1">
      <c r="A618" s="26" t="s">
        <v>947</v>
      </c>
      <c r="B618" s="26" t="s">
        <v>943</v>
      </c>
      <c r="C618" t="s">
        <v>948</v>
      </c>
    </row>
    <row r="619" spans="1:3" ht="15" customHeight="1">
      <c r="A619" s="26" t="s">
        <v>949</v>
      </c>
      <c r="B619" s="26" t="s">
        <v>950</v>
      </c>
      <c r="C619" t="s">
        <v>951</v>
      </c>
    </row>
    <row r="620" spans="1:3" ht="15" customHeight="1">
      <c r="A620" s="26" t="s">
        <v>952</v>
      </c>
      <c r="B620" s="26" t="s">
        <v>950</v>
      </c>
      <c r="C620" t="s">
        <v>953</v>
      </c>
    </row>
    <row r="621" spans="1:3" ht="15" customHeight="1">
      <c r="A621" s="26" t="s">
        <v>954</v>
      </c>
      <c r="B621" s="26" t="s">
        <v>943</v>
      </c>
      <c r="C621" t="s">
        <v>955</v>
      </c>
    </row>
    <row r="622" spans="1:3" ht="15" customHeight="1">
      <c r="A622" s="26" t="s">
        <v>956</v>
      </c>
      <c r="B622" s="26" t="s">
        <v>943</v>
      </c>
      <c r="C622" t="s">
        <v>957</v>
      </c>
    </row>
    <row r="623" spans="1:3" ht="15" customHeight="1">
      <c r="A623" s="26" t="s">
        <v>958</v>
      </c>
      <c r="B623" s="26" t="s">
        <v>943</v>
      </c>
      <c r="C623" t="s">
        <v>959</v>
      </c>
    </row>
    <row r="624" spans="1:3" ht="15" customHeight="1">
      <c r="A624" s="26" t="s">
        <v>960</v>
      </c>
      <c r="B624" s="26" t="s">
        <v>943</v>
      </c>
      <c r="C624" t="s">
        <v>961</v>
      </c>
    </row>
    <row r="625" spans="1:3" ht="15" customHeight="1">
      <c r="A625" s="26" t="s">
        <v>962</v>
      </c>
      <c r="B625" s="26" t="s">
        <v>950</v>
      </c>
      <c r="C625" t="s">
        <v>963</v>
      </c>
    </row>
    <row r="626" spans="1:3" ht="15" customHeight="1">
      <c r="A626" s="26" t="s">
        <v>964</v>
      </c>
      <c r="B626" s="26" t="s">
        <v>950</v>
      </c>
      <c r="C626" t="s">
        <v>965</v>
      </c>
    </row>
    <row r="627" spans="1:3" ht="15" customHeight="1">
      <c r="A627" s="26" t="s">
        <v>966</v>
      </c>
      <c r="B627" s="26" t="s">
        <v>950</v>
      </c>
      <c r="C627" t="s">
        <v>967</v>
      </c>
    </row>
    <row r="628" spans="1:3" ht="15" customHeight="1">
      <c r="A628" s="26" t="s">
        <v>968</v>
      </c>
      <c r="B628" s="26" t="s">
        <v>950</v>
      </c>
      <c r="C628" t="s">
        <v>969</v>
      </c>
    </row>
    <row r="629" spans="1:3" ht="15" customHeight="1">
      <c r="A629" s="26" t="s">
        <v>970</v>
      </c>
      <c r="B629" s="26" t="s">
        <v>950</v>
      </c>
      <c r="C629" t="s">
        <v>971</v>
      </c>
    </row>
    <row r="630" spans="1:3" ht="15" customHeight="1">
      <c r="A630" s="26" t="s">
        <v>972</v>
      </c>
      <c r="B630" s="26" t="s">
        <v>950</v>
      </c>
      <c r="C630" t="s">
        <v>973</v>
      </c>
    </row>
    <row r="631" spans="1:3" ht="15" customHeight="1">
      <c r="A631" s="26" t="s">
        <v>974</v>
      </c>
      <c r="B631" s="26" t="s">
        <v>950</v>
      </c>
      <c r="C631" t="s">
        <v>975</v>
      </c>
    </row>
    <row r="632" spans="1:3" ht="15" customHeight="1">
      <c r="A632" s="26" t="s">
        <v>976</v>
      </c>
      <c r="B632" s="26" t="s">
        <v>977</v>
      </c>
      <c r="C632" t="s">
        <v>978</v>
      </c>
    </row>
    <row r="633" spans="1:3" ht="15" customHeight="1">
      <c r="A633" s="26" t="s">
        <v>979</v>
      </c>
      <c r="B633" s="26" t="s">
        <v>977</v>
      </c>
      <c r="C633" t="s">
        <v>980</v>
      </c>
    </row>
    <row r="634" spans="1:3" ht="15" customHeight="1">
      <c r="A634" s="26" t="s">
        <v>981</v>
      </c>
      <c r="B634" s="26" t="s">
        <v>977</v>
      </c>
      <c r="C634" t="s">
        <v>982</v>
      </c>
    </row>
    <row r="635" spans="1:3" ht="15" customHeight="1">
      <c r="A635" s="26" t="s">
        <v>983</v>
      </c>
      <c r="B635" s="26" t="s">
        <v>977</v>
      </c>
      <c r="C635" t="s">
        <v>984</v>
      </c>
    </row>
    <row r="636" spans="1:3" ht="15" customHeight="1">
      <c r="A636" s="26" t="s">
        <v>985</v>
      </c>
      <c r="B636" s="26" t="s">
        <v>977</v>
      </c>
      <c r="C636" t="s">
        <v>986</v>
      </c>
    </row>
    <row r="637" spans="1:3" ht="15" customHeight="1">
      <c r="A637" s="26" t="s">
        <v>987</v>
      </c>
      <c r="B637" s="26" t="s">
        <v>977</v>
      </c>
      <c r="C637" t="s">
        <v>988</v>
      </c>
    </row>
    <row r="638" spans="1:3" ht="15" customHeight="1">
      <c r="A638" s="26" t="s">
        <v>989</v>
      </c>
      <c r="B638" s="26" t="s">
        <v>977</v>
      </c>
      <c r="C638" t="s">
        <v>990</v>
      </c>
    </row>
    <row r="639" spans="1:3" ht="15" customHeight="1">
      <c r="A639" s="26" t="s">
        <v>991</v>
      </c>
      <c r="B639" s="26" t="s">
        <v>977</v>
      </c>
      <c r="C639" t="s">
        <v>992</v>
      </c>
    </row>
    <row r="640" spans="1:3" ht="15" customHeight="1">
      <c r="A640" s="26" t="s">
        <v>993</v>
      </c>
      <c r="B640" s="26" t="s">
        <v>977</v>
      </c>
      <c r="C640" t="s">
        <v>994</v>
      </c>
    </row>
    <row r="641" spans="1:3" ht="15" customHeight="1">
      <c r="A641" s="26" t="s">
        <v>995</v>
      </c>
      <c r="B641" s="26" t="s">
        <v>977</v>
      </c>
      <c r="C641" t="s">
        <v>996</v>
      </c>
    </row>
    <row r="642" spans="1:3" ht="15" customHeight="1">
      <c r="A642" s="26" t="s">
        <v>997</v>
      </c>
      <c r="B642" s="26" t="s">
        <v>977</v>
      </c>
      <c r="C642" t="s">
        <v>998</v>
      </c>
    </row>
    <row r="643" spans="1:3" ht="15" customHeight="1">
      <c r="A643" s="26" t="s">
        <v>999</v>
      </c>
      <c r="B643" s="26" t="s">
        <v>1000</v>
      </c>
      <c r="C643" t="s">
        <v>1001</v>
      </c>
    </row>
    <row r="644" spans="1:3" ht="15" customHeight="1">
      <c r="A644" s="26" t="s">
        <v>1002</v>
      </c>
      <c r="B644" s="26" t="s">
        <v>1003</v>
      </c>
      <c r="C644" t="s">
        <v>1004</v>
      </c>
    </row>
    <row r="645" spans="1:3" ht="15" customHeight="1">
      <c r="A645" s="26" t="s">
        <v>1005</v>
      </c>
      <c r="B645" s="26" t="s">
        <v>1003</v>
      </c>
      <c r="C645" t="s">
        <v>1006</v>
      </c>
    </row>
    <row r="646" spans="1:3" ht="15" customHeight="1">
      <c r="A646" s="26" t="s">
        <v>1007</v>
      </c>
      <c r="B646" s="26" t="s">
        <v>1003</v>
      </c>
      <c r="C646" t="s">
        <v>1008</v>
      </c>
    </row>
    <row r="647" spans="1:3" ht="15" customHeight="1">
      <c r="A647" s="26" t="s">
        <v>1009</v>
      </c>
      <c r="B647" s="26" t="s">
        <v>1003</v>
      </c>
      <c r="C647" t="s">
        <v>1010</v>
      </c>
    </row>
    <row r="648" spans="1:3" ht="15" customHeight="1">
      <c r="A648" s="26" t="s">
        <v>1011</v>
      </c>
      <c r="B648" s="26" t="s">
        <v>1003</v>
      </c>
      <c r="C648" t="s">
        <v>1012</v>
      </c>
    </row>
    <row r="649" spans="1:3" ht="15" customHeight="1">
      <c r="A649" s="26" t="s">
        <v>1013</v>
      </c>
      <c r="B649" s="26" t="s">
        <v>1003</v>
      </c>
      <c r="C649" t="s">
        <v>1014</v>
      </c>
    </row>
    <row r="650" spans="1:3" ht="15" customHeight="1">
      <c r="A650" s="26" t="s">
        <v>1015</v>
      </c>
      <c r="B650" s="26" t="s">
        <v>1003</v>
      </c>
      <c r="C650" t="s">
        <v>1016</v>
      </c>
    </row>
    <row r="651" spans="1:3" ht="15" customHeight="1">
      <c r="A651" s="26" t="s">
        <v>1017</v>
      </c>
      <c r="B651" s="26" t="s">
        <v>1018</v>
      </c>
      <c r="C651" t="s">
        <v>1019</v>
      </c>
    </row>
    <row r="652" spans="1:3" ht="15" customHeight="1">
      <c r="A652" s="26" t="s">
        <v>1020</v>
      </c>
      <c r="B652" s="26" t="s">
        <v>1018</v>
      </c>
      <c r="C652" t="s">
        <v>1021</v>
      </c>
    </row>
    <row r="653" spans="1:3" ht="15" customHeight="1">
      <c r="A653" s="26" t="s">
        <v>1022</v>
      </c>
      <c r="B653" s="26" t="s">
        <v>1018</v>
      </c>
      <c r="C653" t="s">
        <v>1023</v>
      </c>
    </row>
    <row r="654" spans="1:3" ht="15" customHeight="1">
      <c r="A654" s="26" t="s">
        <v>1024</v>
      </c>
      <c r="B654" s="26" t="s">
        <v>1018</v>
      </c>
      <c r="C654" t="s">
        <v>1025</v>
      </c>
    </row>
    <row r="655" spans="1:3" ht="15" customHeight="1">
      <c r="A655" s="26" t="s">
        <v>1026</v>
      </c>
      <c r="B655" s="26" t="s">
        <v>1027</v>
      </c>
      <c r="C655" t="s">
        <v>1028</v>
      </c>
    </row>
    <row r="656" spans="1:3" ht="15" customHeight="1">
      <c r="A656" s="26" t="s">
        <v>1029</v>
      </c>
      <c r="B656" s="26" t="s">
        <v>1027</v>
      </c>
      <c r="C656" t="s">
        <v>1030</v>
      </c>
    </row>
    <row r="657" spans="1:3" ht="15" customHeight="1">
      <c r="A657" s="26" t="s">
        <v>1031</v>
      </c>
      <c r="B657" s="26" t="s">
        <v>1027</v>
      </c>
      <c r="C657" t="s">
        <v>1032</v>
      </c>
    </row>
    <row r="658" spans="1:3" ht="15" customHeight="1">
      <c r="A658" s="26" t="s">
        <v>1033</v>
      </c>
      <c r="B658" s="26" t="s">
        <v>1034</v>
      </c>
      <c r="C658" t="s">
        <v>1035</v>
      </c>
    </row>
    <row r="659" spans="1:3" ht="15" customHeight="1">
      <c r="A659" s="26" t="s">
        <v>1036</v>
      </c>
      <c r="B659" s="26" t="s">
        <v>1034</v>
      </c>
      <c r="C659" t="s">
        <v>1037</v>
      </c>
    </row>
    <row r="660" spans="1:3" ht="15" customHeight="1">
      <c r="A660" s="26" t="s">
        <v>1038</v>
      </c>
      <c r="B660" s="26" t="s">
        <v>1039</v>
      </c>
      <c r="C660" t="s">
        <v>1040</v>
      </c>
    </row>
    <row r="661" spans="1:3" ht="15" customHeight="1">
      <c r="A661" s="26" t="s">
        <v>1041</v>
      </c>
      <c r="B661" s="26" t="s">
        <v>1039</v>
      </c>
      <c r="C661" t="s">
        <v>1042</v>
      </c>
    </row>
    <row r="662" spans="1:3" ht="15" customHeight="1">
      <c r="A662" s="26" t="s">
        <v>1043</v>
      </c>
      <c r="B662" s="26" t="s">
        <v>1039</v>
      </c>
      <c r="C662" t="s">
        <v>1044</v>
      </c>
    </row>
    <row r="663" spans="1:3" ht="15" customHeight="1">
      <c r="A663" s="26" t="s">
        <v>1045</v>
      </c>
      <c r="B663" s="26" t="s">
        <v>1039</v>
      </c>
      <c r="C663" t="s">
        <v>1046</v>
      </c>
    </row>
    <row r="664" spans="1:3" ht="15" customHeight="1">
      <c r="A664" s="26" t="s">
        <v>1047</v>
      </c>
      <c r="B664" s="26" t="s">
        <v>1039</v>
      </c>
      <c r="C664" t="s">
        <v>1048</v>
      </c>
    </row>
    <row r="665" spans="1:3" ht="15" customHeight="1">
      <c r="A665" s="26" t="s">
        <v>1049</v>
      </c>
      <c r="B665" s="26" t="s">
        <v>1039</v>
      </c>
      <c r="C665" t="s">
        <v>1050</v>
      </c>
    </row>
    <row r="666" spans="1:3" ht="15" customHeight="1">
      <c r="A666" s="26" t="s">
        <v>1051</v>
      </c>
      <c r="B666" s="26" t="s">
        <v>1039</v>
      </c>
      <c r="C666" t="s">
        <v>2519</v>
      </c>
    </row>
    <row r="667" spans="1:3" ht="15" customHeight="1">
      <c r="A667" s="26" t="s">
        <v>1053</v>
      </c>
      <c r="B667" s="26" t="s">
        <v>1039</v>
      </c>
      <c r="C667" t="s">
        <v>1054</v>
      </c>
    </row>
    <row r="668" spans="1:3" ht="15" customHeight="1">
      <c r="A668" s="26" t="s">
        <v>1055</v>
      </c>
      <c r="B668" s="26" t="s">
        <v>1039</v>
      </c>
      <c r="C668" t="s">
        <v>1056</v>
      </c>
    </row>
    <row r="669" spans="1:3" ht="15" customHeight="1">
      <c r="A669" s="26" t="s">
        <v>1057</v>
      </c>
      <c r="B669" s="26" t="s">
        <v>1039</v>
      </c>
      <c r="C669" t="s">
        <v>1058</v>
      </c>
    </row>
    <row r="670" spans="1:3" ht="15" customHeight="1">
      <c r="A670" s="26" t="s">
        <v>1059</v>
      </c>
      <c r="B670" s="26" t="s">
        <v>1060</v>
      </c>
      <c r="C670" t="s">
        <v>1061</v>
      </c>
    </row>
    <row r="671" spans="1:3" ht="15" customHeight="1">
      <c r="A671" s="26" t="s">
        <v>1062</v>
      </c>
      <c r="B671" s="26" t="s">
        <v>1063</v>
      </c>
      <c r="C671" t="s">
        <v>1064</v>
      </c>
    </row>
    <row r="672" spans="1:3" ht="15" customHeight="1">
      <c r="A672" s="26" t="s">
        <v>1065</v>
      </c>
      <c r="B672" s="26" t="s">
        <v>1063</v>
      </c>
      <c r="C672" t="s">
        <v>1066</v>
      </c>
    </row>
    <row r="673" spans="1:3" ht="15" customHeight="1">
      <c r="A673" s="26" t="s">
        <v>1067</v>
      </c>
      <c r="B673" s="26" t="s">
        <v>1063</v>
      </c>
      <c r="C673" t="s">
        <v>1068</v>
      </c>
    </row>
    <row r="674" spans="1:3" ht="15" customHeight="1">
      <c r="A674" s="26" t="s">
        <v>1069</v>
      </c>
      <c r="B674" s="26" t="s">
        <v>1063</v>
      </c>
      <c r="C674" t="s">
        <v>1070</v>
      </c>
    </row>
    <row r="675" spans="1:3" ht="15" customHeight="1">
      <c r="A675" s="26" t="s">
        <v>1071</v>
      </c>
      <c r="B675" s="26" t="s">
        <v>1063</v>
      </c>
      <c r="C675" t="s">
        <v>2520</v>
      </c>
    </row>
    <row r="676" spans="1:3" ht="15" customHeight="1">
      <c r="A676" s="26" t="s">
        <v>1073</v>
      </c>
      <c r="B676" s="26" t="s">
        <v>1074</v>
      </c>
      <c r="C676" t="s">
        <v>1075</v>
      </c>
    </row>
    <row r="677" spans="1:3" ht="15" customHeight="1">
      <c r="A677" s="26" t="s">
        <v>1076</v>
      </c>
      <c r="B677" s="26" t="s">
        <v>1074</v>
      </c>
      <c r="C677" t="s">
        <v>1077</v>
      </c>
    </row>
    <row r="678" spans="1:3" ht="15" customHeight="1">
      <c r="A678" s="26" t="s">
        <v>1078</v>
      </c>
      <c r="B678" s="26" t="s">
        <v>1079</v>
      </c>
      <c r="C678" t="s">
        <v>1080</v>
      </c>
    </row>
    <row r="679" spans="1:3" ht="15" customHeight="1">
      <c r="A679" s="26" t="s">
        <v>1081</v>
      </c>
      <c r="B679" s="26" t="s">
        <v>1079</v>
      </c>
      <c r="C679" t="s">
        <v>1082</v>
      </c>
    </row>
    <row r="680" spans="1:3" ht="15" customHeight="1">
      <c r="A680" s="26" t="s">
        <v>1083</v>
      </c>
      <c r="B680" s="26" t="s">
        <v>1079</v>
      </c>
      <c r="C680" t="s">
        <v>1084</v>
      </c>
    </row>
    <row r="681" spans="1:3" ht="15" customHeight="1">
      <c r="A681" s="26" t="s">
        <v>1085</v>
      </c>
      <c r="B681" s="26" t="s">
        <v>1079</v>
      </c>
      <c r="C681" t="s">
        <v>1086</v>
      </c>
    </row>
    <row r="682" spans="1:3" ht="15" customHeight="1">
      <c r="A682" s="26" t="s">
        <v>1087</v>
      </c>
      <c r="B682" s="26" t="s">
        <v>1079</v>
      </c>
      <c r="C682" t="s">
        <v>1088</v>
      </c>
    </row>
    <row r="683" spans="1:3" ht="15" customHeight="1">
      <c r="A683" s="26" t="s">
        <v>1089</v>
      </c>
      <c r="B683" s="26" t="s">
        <v>1079</v>
      </c>
      <c r="C683" t="s">
        <v>1090</v>
      </c>
    </row>
    <row r="684" spans="1:3" ht="15" customHeight="1">
      <c r="A684" s="26" t="s">
        <v>1091</v>
      </c>
      <c r="B684" s="26" t="s">
        <v>1079</v>
      </c>
      <c r="C684" t="s">
        <v>1092</v>
      </c>
    </row>
    <row r="685" spans="1:3" ht="15" customHeight="1">
      <c r="A685" s="26" t="s">
        <v>1093</v>
      </c>
      <c r="B685" s="26" t="s">
        <v>1079</v>
      </c>
      <c r="C685" t="s">
        <v>1094</v>
      </c>
    </row>
    <row r="686" spans="1:3" ht="15" customHeight="1">
      <c r="A686" s="26" t="s">
        <v>1095</v>
      </c>
      <c r="B686" s="26" t="s">
        <v>1079</v>
      </c>
      <c r="C686" t="s">
        <v>1096</v>
      </c>
    </row>
    <row r="687" spans="1:3" ht="15" customHeight="1">
      <c r="A687" s="26" t="s">
        <v>1097</v>
      </c>
      <c r="B687" s="26" t="s">
        <v>1098</v>
      </c>
      <c r="C687" t="s">
        <v>1099</v>
      </c>
    </row>
    <row r="688" spans="1:3" ht="15" customHeight="1">
      <c r="A688" s="26" t="s">
        <v>1100</v>
      </c>
      <c r="B688" s="26" t="s">
        <v>1098</v>
      </c>
      <c r="C688" t="s">
        <v>1101</v>
      </c>
    </row>
    <row r="689" spans="1:3" ht="15" customHeight="1">
      <c r="A689" s="26" t="s">
        <v>1102</v>
      </c>
      <c r="B689" s="26" t="s">
        <v>1098</v>
      </c>
      <c r="C689" t="s">
        <v>1103</v>
      </c>
    </row>
    <row r="690" spans="1:3" ht="15" customHeight="1">
      <c r="A690" s="26" t="s">
        <v>1104</v>
      </c>
      <c r="B690" s="26" t="s">
        <v>1098</v>
      </c>
      <c r="C690" t="s">
        <v>1105</v>
      </c>
    </row>
    <row r="691" spans="1:3" ht="15" customHeight="1">
      <c r="A691" s="26" t="s">
        <v>1106</v>
      </c>
      <c r="B691" s="26" t="s">
        <v>1098</v>
      </c>
      <c r="C691" t="s">
        <v>1107</v>
      </c>
    </row>
    <row r="692" spans="1:3" ht="15" customHeight="1">
      <c r="A692" s="26" t="s">
        <v>1108</v>
      </c>
      <c r="B692" s="26" t="s">
        <v>1098</v>
      </c>
      <c r="C692" t="s">
        <v>1109</v>
      </c>
    </row>
    <row r="693" spans="1:3" ht="15" customHeight="1">
      <c r="A693" s="26" t="s">
        <v>1110</v>
      </c>
      <c r="B693" s="26" t="s">
        <v>1098</v>
      </c>
      <c r="C693" t="s">
        <v>1111</v>
      </c>
    </row>
    <row r="694" spans="1:3" ht="15" customHeight="1">
      <c r="A694" s="26" t="s">
        <v>1112</v>
      </c>
      <c r="B694" s="26" t="s">
        <v>1098</v>
      </c>
      <c r="C694" t="s">
        <v>1113</v>
      </c>
    </row>
    <row r="695" spans="1:3" ht="15" customHeight="1">
      <c r="A695" s="26" t="s">
        <v>1114</v>
      </c>
      <c r="B695" s="26" t="s">
        <v>1098</v>
      </c>
      <c r="C695" t="s">
        <v>1115</v>
      </c>
    </row>
    <row r="696" spans="1:3" ht="15" customHeight="1">
      <c r="A696" s="26" t="s">
        <v>1116</v>
      </c>
      <c r="B696" s="26" t="s">
        <v>1098</v>
      </c>
      <c r="C696" t="s">
        <v>1117</v>
      </c>
    </row>
    <row r="697" spans="1:3" ht="15" customHeight="1">
      <c r="A697" s="26" t="s">
        <v>1118</v>
      </c>
      <c r="B697" s="26" t="s">
        <v>1098</v>
      </c>
      <c r="C697" t="s">
        <v>1119</v>
      </c>
    </row>
    <row r="698" spans="1:3" ht="15" customHeight="1">
      <c r="A698" s="26" t="s">
        <v>1120</v>
      </c>
      <c r="B698" s="26" t="s">
        <v>1098</v>
      </c>
      <c r="C698" t="s">
        <v>2521</v>
      </c>
    </row>
    <row r="699" spans="1:3" ht="15" customHeight="1">
      <c r="A699" s="26" t="s">
        <v>2522</v>
      </c>
      <c r="B699" s="26" t="s">
        <v>1098</v>
      </c>
      <c r="C699" t="s">
        <v>2523</v>
      </c>
    </row>
    <row r="700" spans="1:3" ht="15" customHeight="1">
      <c r="A700" s="26" t="s">
        <v>2524</v>
      </c>
      <c r="B700" s="26" t="s">
        <v>1098</v>
      </c>
      <c r="C700" t="s">
        <v>2525</v>
      </c>
    </row>
    <row r="701" spans="1:3" ht="15" customHeight="1">
      <c r="A701" s="26" t="s">
        <v>2526</v>
      </c>
      <c r="B701" s="26" t="s">
        <v>1098</v>
      </c>
      <c r="C701" t="s">
        <v>2527</v>
      </c>
    </row>
    <row r="702" spans="1:3" ht="15" customHeight="1">
      <c r="A702" s="26" t="s">
        <v>1124</v>
      </c>
      <c r="B702" s="26" t="s">
        <v>1098</v>
      </c>
      <c r="C702" t="s">
        <v>1125</v>
      </c>
    </row>
    <row r="703" spans="1:3" ht="15" customHeight="1">
      <c r="A703" s="26" t="s">
        <v>1126</v>
      </c>
      <c r="B703" s="26" t="s">
        <v>1098</v>
      </c>
      <c r="C703" t="s">
        <v>1127</v>
      </c>
    </row>
    <row r="704" spans="1:3" ht="15" customHeight="1">
      <c r="A704" s="26" t="s">
        <v>2528</v>
      </c>
      <c r="B704" s="26" t="s">
        <v>1098</v>
      </c>
      <c r="C704" t="s">
        <v>2529</v>
      </c>
    </row>
    <row r="705" spans="1:3" ht="15" customHeight="1">
      <c r="A705" s="26" t="s">
        <v>2530</v>
      </c>
      <c r="B705" s="26" t="s">
        <v>1098</v>
      </c>
      <c r="C705" t="s">
        <v>2531</v>
      </c>
    </row>
    <row r="706" spans="1:3" ht="15" customHeight="1">
      <c r="A706" s="26" t="s">
        <v>2532</v>
      </c>
      <c r="B706" s="26" t="s">
        <v>1098</v>
      </c>
      <c r="C706" t="s">
        <v>2533</v>
      </c>
    </row>
    <row r="707" spans="1:3" ht="15" customHeight="1">
      <c r="A707" s="26" t="s">
        <v>2534</v>
      </c>
      <c r="B707" s="26" t="s">
        <v>1098</v>
      </c>
      <c r="C707" t="s">
        <v>2535</v>
      </c>
    </row>
    <row r="708" spans="1:3" ht="15" customHeight="1">
      <c r="A708" s="26" t="s">
        <v>1130</v>
      </c>
      <c r="B708" s="26" t="s">
        <v>1131</v>
      </c>
      <c r="C708" t="s">
        <v>1132</v>
      </c>
    </row>
    <row r="709" spans="1:3" ht="15" customHeight="1">
      <c r="A709" s="26" t="s">
        <v>1133</v>
      </c>
      <c r="B709" s="26" t="s">
        <v>1131</v>
      </c>
      <c r="C709" t="s">
        <v>1134</v>
      </c>
    </row>
    <row r="710" spans="1:3" ht="15" customHeight="1">
      <c r="A710" s="26" t="s">
        <v>1135</v>
      </c>
      <c r="B710" s="26" t="s">
        <v>1131</v>
      </c>
      <c r="C710" t="s">
        <v>1136</v>
      </c>
    </row>
    <row r="711" spans="1:3" ht="15" customHeight="1">
      <c r="A711" s="26" t="s">
        <v>1137</v>
      </c>
      <c r="B711" s="26" t="s">
        <v>1131</v>
      </c>
      <c r="C711" t="s">
        <v>1138</v>
      </c>
    </row>
    <row r="712" spans="1:3" ht="15" customHeight="1">
      <c r="A712" s="26" t="s">
        <v>1139</v>
      </c>
      <c r="B712" s="26" t="s">
        <v>1140</v>
      </c>
      <c r="C712" t="s">
        <v>1141</v>
      </c>
    </row>
    <row r="713" spans="1:3" ht="15" customHeight="1">
      <c r="A713" s="26" t="s">
        <v>1142</v>
      </c>
      <c r="B713" s="26" t="s">
        <v>1140</v>
      </c>
      <c r="C713" t="s">
        <v>1143</v>
      </c>
    </row>
    <row r="714" spans="1:3" ht="15" customHeight="1">
      <c r="A714" s="26" t="s">
        <v>2536</v>
      </c>
      <c r="B714" s="26" t="s">
        <v>1140</v>
      </c>
      <c r="C714" t="s">
        <v>2537</v>
      </c>
    </row>
    <row r="715" spans="1:3" ht="15" customHeight="1">
      <c r="A715" s="26" t="s">
        <v>2538</v>
      </c>
      <c r="B715" s="26" t="s">
        <v>1140</v>
      </c>
      <c r="C715" t="s">
        <v>2539</v>
      </c>
    </row>
    <row r="716" spans="1:3" ht="15" customHeight="1">
      <c r="A716" s="26" t="s">
        <v>2540</v>
      </c>
      <c r="B716" s="26" t="s">
        <v>1140</v>
      </c>
      <c r="C716" t="s">
        <v>2541</v>
      </c>
    </row>
    <row r="717" spans="1:3" ht="15" customHeight="1">
      <c r="A717" s="26" t="s">
        <v>2542</v>
      </c>
      <c r="B717" s="26" t="s">
        <v>1140</v>
      </c>
      <c r="C717" t="s">
        <v>2543</v>
      </c>
    </row>
    <row r="718" spans="1:3" ht="15" customHeight="1">
      <c r="A718" s="26" t="s">
        <v>2544</v>
      </c>
      <c r="B718" s="26" t="s">
        <v>1140</v>
      </c>
      <c r="C718" t="s">
        <v>2545</v>
      </c>
    </row>
    <row r="719" spans="1:3" ht="15" customHeight="1">
      <c r="A719" s="26" t="s">
        <v>2546</v>
      </c>
      <c r="B719" s="26" t="s">
        <v>1140</v>
      </c>
      <c r="C719" t="s">
        <v>2547</v>
      </c>
    </row>
    <row r="720" spans="1:3" ht="15" customHeight="1">
      <c r="A720" s="26" t="s">
        <v>1148</v>
      </c>
      <c r="B720" s="26" t="s">
        <v>1140</v>
      </c>
      <c r="C720" t="s">
        <v>1149</v>
      </c>
    </row>
    <row r="721" spans="1:3" ht="15" customHeight="1">
      <c r="A721" s="26" t="s">
        <v>1150</v>
      </c>
      <c r="B721" s="26" t="s">
        <v>1140</v>
      </c>
      <c r="C721" t="s">
        <v>1151</v>
      </c>
    </row>
    <row r="722" spans="1:3" ht="15" customHeight="1">
      <c r="A722" s="26" t="s">
        <v>2548</v>
      </c>
      <c r="B722" s="26" t="s">
        <v>1153</v>
      </c>
      <c r="C722" t="s">
        <v>2549</v>
      </c>
    </row>
    <row r="723" spans="1:3" ht="15" customHeight="1">
      <c r="A723" s="26" t="s">
        <v>2550</v>
      </c>
      <c r="B723" s="26" t="s">
        <v>1153</v>
      </c>
      <c r="C723" t="s">
        <v>2551</v>
      </c>
    </row>
    <row r="724" spans="1:3" ht="15" customHeight="1">
      <c r="A724" s="26" t="s">
        <v>2552</v>
      </c>
      <c r="B724" s="26" t="s">
        <v>1153</v>
      </c>
      <c r="C724" t="s">
        <v>2553</v>
      </c>
    </row>
    <row r="725" spans="1:3" ht="15" customHeight="1">
      <c r="A725" s="26" t="s">
        <v>2554</v>
      </c>
      <c r="B725" s="26" t="s">
        <v>1153</v>
      </c>
      <c r="C725" t="s">
        <v>2555</v>
      </c>
    </row>
    <row r="726" spans="1:3" ht="15" customHeight="1">
      <c r="A726" s="26" t="s">
        <v>2556</v>
      </c>
      <c r="B726" s="26" t="s">
        <v>1153</v>
      </c>
      <c r="C726" t="s">
        <v>2557</v>
      </c>
    </row>
    <row r="727" spans="1:3" ht="15" customHeight="1">
      <c r="A727" s="26" t="s">
        <v>1157</v>
      </c>
      <c r="B727" s="26" t="s">
        <v>1153</v>
      </c>
      <c r="C727" t="s">
        <v>1158</v>
      </c>
    </row>
    <row r="728" spans="1:3" ht="15" customHeight="1">
      <c r="A728" s="26" t="s">
        <v>1159</v>
      </c>
      <c r="B728" s="26" t="s">
        <v>1153</v>
      </c>
      <c r="C728" t="s">
        <v>1160</v>
      </c>
    </row>
    <row r="729" spans="1:3" ht="15" customHeight="1">
      <c r="A729" s="26" t="s">
        <v>1161</v>
      </c>
      <c r="B729" s="26" t="s">
        <v>1153</v>
      </c>
      <c r="C729" t="s">
        <v>1162</v>
      </c>
    </row>
    <row r="730" spans="1:3" ht="15" customHeight="1">
      <c r="A730" s="26" t="s">
        <v>1163</v>
      </c>
      <c r="B730" s="26" t="s">
        <v>1153</v>
      </c>
      <c r="C730" t="s">
        <v>1164</v>
      </c>
    </row>
    <row r="731" spans="1:3" ht="15" customHeight="1">
      <c r="A731" s="26" t="s">
        <v>1165</v>
      </c>
      <c r="B731" s="26" t="s">
        <v>1153</v>
      </c>
      <c r="C731" t="s">
        <v>1166</v>
      </c>
    </row>
    <row r="732" spans="1:3" ht="15" customHeight="1">
      <c r="A732" s="26" t="s">
        <v>1167</v>
      </c>
      <c r="B732" s="26" t="s">
        <v>1153</v>
      </c>
      <c r="C732" t="s">
        <v>1168</v>
      </c>
    </row>
    <row r="733" spans="1:3" ht="15" customHeight="1">
      <c r="A733" s="26" t="s">
        <v>1169</v>
      </c>
      <c r="B733" s="26" t="s">
        <v>1153</v>
      </c>
      <c r="C733" t="s">
        <v>1170</v>
      </c>
    </row>
    <row r="734" spans="1:3" ht="15" customHeight="1">
      <c r="A734" s="26" t="s">
        <v>1171</v>
      </c>
      <c r="B734" s="26" t="s">
        <v>1153</v>
      </c>
      <c r="C734" t="s">
        <v>1172</v>
      </c>
    </row>
    <row r="735" spans="1:3" ht="15" customHeight="1">
      <c r="A735" s="26" t="s">
        <v>1173</v>
      </c>
      <c r="B735" s="26" t="s">
        <v>1153</v>
      </c>
      <c r="C735" t="s">
        <v>1174</v>
      </c>
    </row>
    <row r="736" spans="1:3" ht="15" customHeight="1">
      <c r="A736" s="26" t="s">
        <v>1175</v>
      </c>
      <c r="B736" s="26" t="s">
        <v>1153</v>
      </c>
      <c r="C736" t="s">
        <v>1176</v>
      </c>
    </row>
    <row r="737" spans="1:3" ht="15" customHeight="1">
      <c r="A737" s="26" t="s">
        <v>1177</v>
      </c>
      <c r="B737" s="26" t="s">
        <v>1178</v>
      </c>
      <c r="C737" t="s">
        <v>1179</v>
      </c>
    </row>
    <row r="738" spans="1:3" ht="15" customHeight="1">
      <c r="A738" s="26" t="s">
        <v>1180</v>
      </c>
      <c r="B738" s="26" t="s">
        <v>1178</v>
      </c>
      <c r="C738" t="s">
        <v>1181</v>
      </c>
    </row>
    <row r="739" spans="1:3" ht="15" customHeight="1">
      <c r="A739" s="26" t="s">
        <v>1182</v>
      </c>
      <c r="B739" s="26" t="s">
        <v>1178</v>
      </c>
      <c r="C739" t="s">
        <v>1183</v>
      </c>
    </row>
    <row r="740" spans="1:3" ht="15" customHeight="1">
      <c r="A740" s="26" t="s">
        <v>1184</v>
      </c>
      <c r="B740" s="26" t="s">
        <v>1178</v>
      </c>
      <c r="C740" t="s">
        <v>1185</v>
      </c>
    </row>
    <row r="741" spans="1:3" ht="15" customHeight="1">
      <c r="A741" s="26" t="s">
        <v>2558</v>
      </c>
      <c r="B741" s="26" t="s">
        <v>1178</v>
      </c>
      <c r="C741" t="s">
        <v>2559</v>
      </c>
    </row>
    <row r="742" spans="1:3" ht="15" customHeight="1">
      <c r="A742" s="26" t="s">
        <v>2560</v>
      </c>
      <c r="B742" s="26" t="s">
        <v>1178</v>
      </c>
      <c r="C742" t="s">
        <v>2561</v>
      </c>
    </row>
    <row r="743" spans="1:3" ht="15" customHeight="1">
      <c r="A743" s="26" t="s">
        <v>2562</v>
      </c>
      <c r="B743" s="26" t="s">
        <v>1178</v>
      </c>
      <c r="C743" t="s">
        <v>2563</v>
      </c>
    </row>
    <row r="744" spans="1:3" ht="15" customHeight="1">
      <c r="A744" s="26" t="s">
        <v>1188</v>
      </c>
      <c r="B744" s="26" t="s">
        <v>1189</v>
      </c>
      <c r="C744" t="s">
        <v>1190</v>
      </c>
    </row>
    <row r="745" spans="1:3" ht="15" customHeight="1">
      <c r="A745" s="26" t="s">
        <v>1191</v>
      </c>
      <c r="B745" s="26" t="s">
        <v>1189</v>
      </c>
      <c r="C745" t="s">
        <v>1192</v>
      </c>
    </row>
    <row r="746" spans="1:3" ht="15" customHeight="1">
      <c r="A746" s="26" t="s">
        <v>1193</v>
      </c>
      <c r="B746" s="26" t="s">
        <v>1189</v>
      </c>
      <c r="C746" t="s">
        <v>1194</v>
      </c>
    </row>
    <row r="747" spans="1:3" ht="15" customHeight="1">
      <c r="A747" s="26" t="s">
        <v>1195</v>
      </c>
      <c r="B747" s="26" t="s">
        <v>1189</v>
      </c>
      <c r="C747" t="s">
        <v>1196</v>
      </c>
    </row>
    <row r="748" spans="1:3" ht="15" customHeight="1">
      <c r="A748" s="26" t="s">
        <v>1197</v>
      </c>
      <c r="B748" s="26" t="s">
        <v>1189</v>
      </c>
      <c r="C748" t="s">
        <v>1198</v>
      </c>
    </row>
    <row r="749" spans="1:3" ht="15" customHeight="1">
      <c r="A749" s="26" t="s">
        <v>1199</v>
      </c>
      <c r="B749" s="26" t="s">
        <v>1189</v>
      </c>
      <c r="C749" t="s">
        <v>1200</v>
      </c>
    </row>
    <row r="750" spans="1:3" ht="15" customHeight="1">
      <c r="A750" s="26" t="s">
        <v>723</v>
      </c>
      <c r="B750" s="26" t="s">
        <v>1189</v>
      </c>
      <c r="C750" t="s">
        <v>1201</v>
      </c>
    </row>
    <row r="751" spans="1:3" ht="15" customHeight="1">
      <c r="A751" s="26" t="s">
        <v>1202</v>
      </c>
      <c r="B751" s="26" t="s">
        <v>1189</v>
      </c>
      <c r="C751" t="s">
        <v>1203</v>
      </c>
    </row>
    <row r="752" spans="1:3" ht="15" customHeight="1">
      <c r="A752" s="26" t="s">
        <v>1204</v>
      </c>
      <c r="B752" s="26" t="s">
        <v>1189</v>
      </c>
      <c r="C752" t="s">
        <v>1205</v>
      </c>
    </row>
    <row r="753" spans="1:3" ht="15" customHeight="1">
      <c r="A753" s="26" t="s">
        <v>1206</v>
      </c>
      <c r="B753" s="26" t="s">
        <v>1189</v>
      </c>
      <c r="C753" t="s">
        <v>1207</v>
      </c>
    </row>
    <row r="754" spans="1:3" ht="15" customHeight="1">
      <c r="A754" s="26" t="s">
        <v>1208</v>
      </c>
      <c r="B754" s="26" t="s">
        <v>1209</v>
      </c>
      <c r="C754" t="s">
        <v>1210</v>
      </c>
    </row>
    <row r="755" spans="1:3" ht="15" customHeight="1">
      <c r="A755" s="26" t="s">
        <v>1211</v>
      </c>
      <c r="B755" s="26" t="s">
        <v>1209</v>
      </c>
      <c r="C755" t="s">
        <v>1212</v>
      </c>
    </row>
    <row r="756" spans="1:3" ht="15" customHeight="1">
      <c r="A756" s="26" t="s">
        <v>1213</v>
      </c>
      <c r="B756" s="26" t="s">
        <v>1209</v>
      </c>
      <c r="C756" t="s">
        <v>1214</v>
      </c>
    </row>
    <row r="757" spans="1:3" ht="15" customHeight="1">
      <c r="A757" s="26" t="s">
        <v>1215</v>
      </c>
      <c r="B757" s="26" t="s">
        <v>1209</v>
      </c>
      <c r="C757" t="s">
        <v>1216</v>
      </c>
    </row>
    <row r="758" spans="1:3" ht="15" customHeight="1">
      <c r="A758" s="26" t="s">
        <v>1217</v>
      </c>
      <c r="B758" s="26" t="s">
        <v>1218</v>
      </c>
      <c r="C758" t="s">
        <v>1219</v>
      </c>
    </row>
    <row r="759" spans="1:3" ht="15" customHeight="1">
      <c r="A759" s="26" t="s">
        <v>1220</v>
      </c>
      <c r="B759" s="26" t="s">
        <v>1218</v>
      </c>
      <c r="C759" t="s">
        <v>1221</v>
      </c>
    </row>
    <row r="760" spans="1:3" ht="15" customHeight="1">
      <c r="A760" s="26" t="s">
        <v>1222</v>
      </c>
      <c r="B760" s="26" t="s">
        <v>1218</v>
      </c>
      <c r="C760" t="s">
        <v>1223</v>
      </c>
    </row>
    <row r="761" spans="1:3" ht="15" customHeight="1">
      <c r="A761" s="26" t="s">
        <v>1224</v>
      </c>
      <c r="B761" s="26" t="s">
        <v>1218</v>
      </c>
      <c r="C761" t="s">
        <v>1225</v>
      </c>
    </row>
    <row r="762" spans="1:3" ht="15" customHeight="1">
      <c r="A762" s="26" t="s">
        <v>1226</v>
      </c>
      <c r="B762" s="26" t="s">
        <v>1218</v>
      </c>
      <c r="C762" t="s">
        <v>1227</v>
      </c>
    </row>
    <row r="763" spans="1:3" ht="15" customHeight="1">
      <c r="A763" s="26" t="s">
        <v>1228</v>
      </c>
      <c r="B763" s="26" t="s">
        <v>1229</v>
      </c>
      <c r="C763" t="s">
        <v>1230</v>
      </c>
    </row>
    <row r="764" spans="1:3" ht="15" customHeight="1">
      <c r="A764" s="26" t="s">
        <v>1231</v>
      </c>
      <c r="B764" s="26" t="s">
        <v>1229</v>
      </c>
      <c r="C764" t="s">
        <v>1232</v>
      </c>
    </row>
    <row r="765" spans="1:3" ht="15" customHeight="1">
      <c r="A765" s="26" t="s">
        <v>1233</v>
      </c>
      <c r="B765" s="26" t="s">
        <v>1229</v>
      </c>
      <c r="C765" t="s">
        <v>1234</v>
      </c>
    </row>
    <row r="766" spans="1:3" ht="15" customHeight="1">
      <c r="A766" s="26" t="s">
        <v>1235</v>
      </c>
      <c r="B766" s="26" t="s">
        <v>1229</v>
      </c>
      <c r="C766" t="s">
        <v>1236</v>
      </c>
    </row>
    <row r="767" spans="1:3" ht="15" customHeight="1">
      <c r="A767" s="26" t="s">
        <v>1237</v>
      </c>
      <c r="B767" s="26" t="s">
        <v>1229</v>
      </c>
      <c r="C767" t="s">
        <v>1238</v>
      </c>
    </row>
    <row r="768" spans="1:3" ht="15" customHeight="1">
      <c r="A768" s="26" t="s">
        <v>1239</v>
      </c>
      <c r="B768" s="26" t="s">
        <v>1229</v>
      </c>
      <c r="C768" t="s">
        <v>1240</v>
      </c>
    </row>
    <row r="769" spans="1:3" ht="15" customHeight="1">
      <c r="A769" s="26" t="s">
        <v>1241</v>
      </c>
      <c r="B769" s="26" t="s">
        <v>1229</v>
      </c>
      <c r="C769" t="s">
        <v>1242</v>
      </c>
    </row>
    <row r="770" spans="1:3" ht="15" customHeight="1">
      <c r="A770" s="26" t="s">
        <v>2564</v>
      </c>
      <c r="B770" s="26" t="s">
        <v>1140</v>
      </c>
      <c r="C770" t="s">
        <v>2565</v>
      </c>
    </row>
    <row r="771" spans="1:3" ht="15" customHeight="1">
      <c r="A771" s="26" t="s">
        <v>2566</v>
      </c>
      <c r="B771" s="26" t="s">
        <v>1140</v>
      </c>
      <c r="C771" t="s">
        <v>2567</v>
      </c>
    </row>
    <row r="772" spans="1:3" ht="15" customHeight="1">
      <c r="A772" s="26" t="s">
        <v>2568</v>
      </c>
      <c r="B772" s="26" t="s">
        <v>1140</v>
      </c>
      <c r="C772" t="s">
        <v>2569</v>
      </c>
    </row>
    <row r="773" spans="1:3" ht="15" customHeight="1">
      <c r="A773" s="26" t="s">
        <v>2570</v>
      </c>
      <c r="B773" s="26" t="s">
        <v>1178</v>
      </c>
      <c r="C773" t="s">
        <v>2571</v>
      </c>
    </row>
    <row r="774" spans="1:3" ht="15" customHeight="1">
      <c r="A774" s="26" t="s">
        <v>2572</v>
      </c>
      <c r="B774" s="26" t="s">
        <v>1178</v>
      </c>
      <c r="C774" t="s">
        <v>2573</v>
      </c>
    </row>
    <row r="775" spans="1:3" ht="15" customHeight="1">
      <c r="A775" s="26" t="s">
        <v>2574</v>
      </c>
      <c r="B775" s="26" t="s">
        <v>1178</v>
      </c>
      <c r="C775" t="s">
        <v>2575</v>
      </c>
    </row>
    <row r="776" spans="1:3" ht="15" customHeight="1">
      <c r="A776" s="26" t="s">
        <v>2576</v>
      </c>
      <c r="B776" s="26" t="s">
        <v>1178</v>
      </c>
      <c r="C776" t="s">
        <v>2577</v>
      </c>
    </row>
    <row r="777" spans="1:3" ht="15" customHeight="1">
      <c r="A777" s="26" t="s">
        <v>2578</v>
      </c>
      <c r="B777" s="26" t="s">
        <v>138</v>
      </c>
      <c r="C777" t="s">
        <v>2579</v>
      </c>
    </row>
    <row r="778" spans="1:3" ht="15" customHeight="1">
      <c r="A778" s="26" t="s">
        <v>2580</v>
      </c>
      <c r="B778" s="26" t="s">
        <v>138</v>
      </c>
      <c r="C778" t="s">
        <v>2581</v>
      </c>
    </row>
    <row r="779" spans="1:3" ht="15" customHeight="1">
      <c r="A779" s="26" t="s">
        <v>2582</v>
      </c>
      <c r="B779" s="26" t="s">
        <v>138</v>
      </c>
      <c r="C779" t="s">
        <v>2583</v>
      </c>
    </row>
    <row r="780" spans="1:3" ht="15" customHeight="1">
      <c r="A780" s="26" t="s">
        <v>2584</v>
      </c>
      <c r="B780" s="26" t="s">
        <v>138</v>
      </c>
      <c r="C780" t="s">
        <v>2585</v>
      </c>
    </row>
    <row r="781" spans="1:3" ht="15" customHeight="1">
      <c r="A781" s="26" t="s">
        <v>2586</v>
      </c>
      <c r="B781" s="26" t="s">
        <v>4</v>
      </c>
      <c r="C781" t="s">
        <v>2587</v>
      </c>
    </row>
    <row r="782" spans="1:3" ht="15" customHeight="1">
      <c r="A782" s="26" t="s">
        <v>2588</v>
      </c>
      <c r="B782" s="26" t="s">
        <v>4</v>
      </c>
      <c r="C782" t="s">
        <v>2589</v>
      </c>
    </row>
    <row r="783" spans="1:3" ht="15" customHeight="1">
      <c r="A783" s="26" t="s">
        <v>2590</v>
      </c>
      <c r="B783" s="26" t="s">
        <v>1178</v>
      </c>
      <c r="C783" t="s">
        <v>2591</v>
      </c>
    </row>
    <row r="784" spans="1:3" ht="15" customHeight="1">
      <c r="A784" s="26" t="s">
        <v>2592</v>
      </c>
      <c r="B784" s="26" t="s">
        <v>1178</v>
      </c>
      <c r="C784" t="s">
        <v>2593</v>
      </c>
    </row>
    <row r="785" spans="1:3" ht="15" customHeight="1">
      <c r="A785" s="26" t="s">
        <v>2594</v>
      </c>
      <c r="B785" s="26" t="s">
        <v>4</v>
      </c>
      <c r="C785" t="s">
        <v>2595</v>
      </c>
    </row>
    <row r="786" spans="1:3" ht="15" customHeight="1">
      <c r="A786" s="26" t="s">
        <v>2596</v>
      </c>
      <c r="B786" s="26" t="s">
        <v>4</v>
      </c>
      <c r="C786" t="s">
        <v>2597</v>
      </c>
    </row>
    <row r="787" spans="1:3" ht="15" customHeight="1">
      <c r="A787" s="26" t="s">
        <v>2598</v>
      </c>
      <c r="B787" s="26" t="s">
        <v>1140</v>
      </c>
      <c r="C787" t="s">
        <v>2599</v>
      </c>
    </row>
    <row r="788" spans="1:3" ht="15" customHeight="1">
      <c r="A788" s="26" t="s">
        <v>2600</v>
      </c>
      <c r="B788" s="26" t="s">
        <v>1178</v>
      </c>
      <c r="C788" t="s">
        <v>2601</v>
      </c>
    </row>
    <row r="789" spans="1:3" ht="15" customHeight="1">
      <c r="A789" s="26" t="s">
        <v>2602</v>
      </c>
      <c r="B789" s="26" t="s">
        <v>1178</v>
      </c>
      <c r="C789" t="s">
        <v>2603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11"/>
  <sheetViews>
    <sheetView rightToLeft="1" topLeftCell="A4414" zoomScaleNormal="100" workbookViewId="0">
      <selection activeCell="D4443" sqref="D4443"/>
    </sheetView>
  </sheetViews>
  <sheetFormatPr defaultColWidth="14.44140625" defaultRowHeight="14.4"/>
  <cols>
    <col min="1" max="1" width="23.5546875" customWidth="1"/>
    <col min="2" max="2" width="46.33203125" customWidth="1"/>
    <col min="3" max="3" width="28.109375" customWidth="1"/>
    <col min="4" max="4" width="57.44140625" customWidth="1"/>
  </cols>
  <sheetData>
    <row r="1" spans="1:4" ht="15" customHeight="1">
      <c r="A1" s="27" t="s">
        <v>2604</v>
      </c>
      <c r="B1" s="28" t="s">
        <v>2605</v>
      </c>
      <c r="C1" s="28" t="s">
        <v>2606</v>
      </c>
      <c r="D1" s="29" t="s">
        <v>2</v>
      </c>
    </row>
    <row r="2" spans="1:4" ht="19.5" customHeight="1">
      <c r="A2" s="10" t="s">
        <v>1243</v>
      </c>
      <c r="B2" s="24" t="s">
        <v>2607</v>
      </c>
      <c r="C2" s="30" t="s">
        <v>2608</v>
      </c>
      <c r="D2" s="14" t="s">
        <v>2144</v>
      </c>
    </row>
    <row r="3" spans="1:4" ht="19.5" customHeight="1">
      <c r="A3" s="10"/>
      <c r="B3" s="24" t="s">
        <v>420</v>
      </c>
      <c r="C3" s="30" t="s">
        <v>2609</v>
      </c>
      <c r="D3" s="14" t="s">
        <v>422</v>
      </c>
    </row>
    <row r="4" spans="1:4" ht="19.5" customHeight="1">
      <c r="A4" s="10"/>
      <c r="B4" s="24" t="s">
        <v>2610</v>
      </c>
      <c r="C4" s="30" t="s">
        <v>2608</v>
      </c>
      <c r="D4" s="14" t="s">
        <v>2184</v>
      </c>
    </row>
    <row r="5" spans="1:4" ht="19.5" customHeight="1">
      <c r="A5" s="10"/>
      <c r="B5" s="24" t="s">
        <v>2611</v>
      </c>
      <c r="C5" s="30" t="s">
        <v>2608</v>
      </c>
      <c r="D5" s="14" t="s">
        <v>2148</v>
      </c>
    </row>
    <row r="6" spans="1:4" ht="19.5" customHeight="1">
      <c r="A6" s="10"/>
      <c r="B6" s="24" t="s">
        <v>420</v>
      </c>
      <c r="C6" s="30" t="s">
        <v>2609</v>
      </c>
      <c r="D6" s="14" t="s">
        <v>422</v>
      </c>
    </row>
    <row r="7" spans="1:4" ht="19.5" customHeight="1">
      <c r="A7" s="10"/>
      <c r="B7" s="24" t="s">
        <v>2612</v>
      </c>
      <c r="C7" s="30" t="s">
        <v>2608</v>
      </c>
      <c r="D7" s="14" t="s">
        <v>2167</v>
      </c>
    </row>
    <row r="8" spans="1:4" ht="19.5" customHeight="1">
      <c r="A8" s="10"/>
      <c r="B8" s="24" t="s">
        <v>2613</v>
      </c>
      <c r="C8" s="30" t="s">
        <v>2608</v>
      </c>
      <c r="D8" s="14" t="s">
        <v>2614</v>
      </c>
    </row>
    <row r="9" spans="1:4" ht="19.5" customHeight="1">
      <c r="A9" s="10"/>
      <c r="B9" s="24" t="s">
        <v>2615</v>
      </c>
      <c r="C9" s="30" t="s">
        <v>2608</v>
      </c>
      <c r="D9" s="14" t="s">
        <v>2174</v>
      </c>
    </row>
    <row r="10" spans="1:4" ht="19.5" customHeight="1">
      <c r="A10" s="10"/>
      <c r="B10" s="24" t="s">
        <v>2616</v>
      </c>
      <c r="C10" s="30" t="s">
        <v>2609</v>
      </c>
      <c r="D10" s="14" t="s">
        <v>424</v>
      </c>
    </row>
    <row r="11" spans="1:4" ht="19.5" customHeight="1">
      <c r="A11" s="10"/>
      <c r="B11" s="24" t="s">
        <v>2617</v>
      </c>
      <c r="C11" s="30">
        <v>1</v>
      </c>
      <c r="D11" s="14" t="s">
        <v>2293</v>
      </c>
    </row>
    <row r="12" spans="1:4" ht="19.5" customHeight="1">
      <c r="A12" s="10"/>
      <c r="B12" s="24" t="s">
        <v>2618</v>
      </c>
      <c r="C12" s="30">
        <v>1</v>
      </c>
      <c r="D12" s="14" t="s">
        <v>2317</v>
      </c>
    </row>
    <row r="13" spans="1:4" ht="19.5" customHeight="1">
      <c r="A13" s="10"/>
      <c r="B13" s="24" t="s">
        <v>2619</v>
      </c>
      <c r="C13" s="30">
        <v>2</v>
      </c>
      <c r="D13" s="14" t="s">
        <v>2565</v>
      </c>
    </row>
    <row r="14" spans="1:4" ht="19.5" customHeight="1">
      <c r="A14" s="10"/>
      <c r="B14" s="24" t="s">
        <v>2620</v>
      </c>
      <c r="C14" s="30">
        <v>2</v>
      </c>
      <c r="D14" s="14" t="s">
        <v>547</v>
      </c>
    </row>
    <row r="15" spans="1:4" ht="19.5" customHeight="1">
      <c r="A15" s="10"/>
      <c r="B15" s="24" t="s">
        <v>2621</v>
      </c>
      <c r="C15" s="30">
        <v>4</v>
      </c>
      <c r="D15" s="14" t="s">
        <v>1107</v>
      </c>
    </row>
    <row r="16" spans="1:4" ht="19.5" customHeight="1">
      <c r="A16" s="10"/>
      <c r="B16" s="24" t="s">
        <v>2622</v>
      </c>
      <c r="C16" s="30">
        <v>1</v>
      </c>
      <c r="D16" s="14" t="s">
        <v>651</v>
      </c>
    </row>
    <row r="17" spans="1:4" ht="19.5" customHeight="1">
      <c r="A17" s="10"/>
      <c r="B17" s="24" t="s">
        <v>2568</v>
      </c>
      <c r="C17" s="30" t="s">
        <v>2623</v>
      </c>
      <c r="D17" s="14" t="s">
        <v>2569</v>
      </c>
    </row>
    <row r="18" spans="1:4" ht="19.5" customHeight="1">
      <c r="A18" s="10"/>
      <c r="B18" s="24" t="s">
        <v>2624</v>
      </c>
      <c r="C18" s="30">
        <v>2</v>
      </c>
      <c r="D18" s="14" t="s">
        <v>1179</v>
      </c>
    </row>
    <row r="19" spans="1:4" ht="19.5" customHeight="1">
      <c r="A19" s="10"/>
      <c r="B19" s="24" t="s">
        <v>2625</v>
      </c>
      <c r="C19" s="30">
        <v>2</v>
      </c>
      <c r="D19" s="14" t="s">
        <v>2571</v>
      </c>
    </row>
    <row r="20" spans="1:4" ht="19.5" customHeight="1">
      <c r="A20" s="10"/>
      <c r="B20" s="31" t="s">
        <v>2626</v>
      </c>
      <c r="C20" s="32" t="s">
        <v>2623</v>
      </c>
      <c r="D20" s="14" t="s">
        <v>1181</v>
      </c>
    </row>
    <row r="21" spans="1:4" ht="19.5" customHeight="1">
      <c r="A21" s="9" t="s">
        <v>1248</v>
      </c>
      <c r="B21" s="33" t="s">
        <v>2611</v>
      </c>
      <c r="C21" s="34" t="s">
        <v>2608</v>
      </c>
      <c r="D21" s="14" t="s">
        <v>2148</v>
      </c>
    </row>
    <row r="22" spans="1:4" ht="19.5" customHeight="1">
      <c r="A22" s="9"/>
      <c r="B22" s="24" t="s">
        <v>2627</v>
      </c>
      <c r="C22" s="30" t="s">
        <v>2609</v>
      </c>
      <c r="D22" s="14" t="s">
        <v>2167</v>
      </c>
    </row>
    <row r="23" spans="1:4" ht="19.5" customHeight="1">
      <c r="A23" s="9"/>
      <c r="B23" s="24" t="s">
        <v>2628</v>
      </c>
      <c r="C23" s="30" t="s">
        <v>2608</v>
      </c>
      <c r="D23" s="14" t="s">
        <v>2140</v>
      </c>
    </row>
    <row r="24" spans="1:4" ht="19.5" customHeight="1">
      <c r="A24" s="9"/>
      <c r="B24" s="24" t="s">
        <v>420</v>
      </c>
      <c r="C24" s="30" t="s">
        <v>2609</v>
      </c>
      <c r="D24" s="14" t="s">
        <v>422</v>
      </c>
    </row>
    <row r="25" spans="1:4" ht="19.5" customHeight="1">
      <c r="A25" s="9"/>
      <c r="B25" s="24" t="s">
        <v>420</v>
      </c>
      <c r="C25" s="30" t="s">
        <v>2608</v>
      </c>
      <c r="D25" s="14" t="s">
        <v>422</v>
      </c>
    </row>
    <row r="26" spans="1:4" ht="19.5" customHeight="1">
      <c r="A26" s="9"/>
      <c r="B26" s="24" t="s">
        <v>2629</v>
      </c>
      <c r="C26" s="30" t="s">
        <v>2608</v>
      </c>
      <c r="D26" s="14" t="s">
        <v>2184</v>
      </c>
    </row>
    <row r="27" spans="1:4" ht="19.5" customHeight="1">
      <c r="A27" s="9"/>
      <c r="B27" s="24" t="s">
        <v>2613</v>
      </c>
      <c r="C27" s="30" t="s">
        <v>2608</v>
      </c>
      <c r="D27" s="14" t="s">
        <v>2614</v>
      </c>
    </row>
    <row r="28" spans="1:4" ht="17.25" customHeight="1">
      <c r="A28" s="9"/>
      <c r="B28" s="24" t="s">
        <v>2615</v>
      </c>
      <c r="C28" s="30" t="s">
        <v>2608</v>
      </c>
      <c r="D28" s="14" t="s">
        <v>2174</v>
      </c>
    </row>
    <row r="29" spans="1:4" ht="19.5" customHeight="1">
      <c r="A29" s="9"/>
      <c r="B29" s="24" t="s">
        <v>2616</v>
      </c>
      <c r="C29" s="30" t="s">
        <v>2609</v>
      </c>
      <c r="D29" s="14" t="s">
        <v>424</v>
      </c>
    </row>
    <row r="30" spans="1:4" ht="18" customHeight="1">
      <c r="A30" s="9"/>
      <c r="B30" s="24" t="s">
        <v>2617</v>
      </c>
      <c r="C30" s="30">
        <v>1</v>
      </c>
      <c r="D30" s="14" t="s">
        <v>2293</v>
      </c>
    </row>
    <row r="31" spans="1:4" ht="19.5" customHeight="1">
      <c r="A31" s="9"/>
      <c r="B31" s="24" t="s">
        <v>2618</v>
      </c>
      <c r="C31" s="30">
        <v>1</v>
      </c>
      <c r="D31" s="14" t="s">
        <v>2317</v>
      </c>
    </row>
    <row r="32" spans="1:4" ht="17.25" customHeight="1">
      <c r="A32" s="9"/>
      <c r="B32" s="24" t="s">
        <v>2619</v>
      </c>
      <c r="C32" s="30">
        <v>2</v>
      </c>
      <c r="D32" s="14" t="s">
        <v>2565</v>
      </c>
    </row>
    <row r="33" spans="1:4" ht="19.5" customHeight="1">
      <c r="A33" s="9"/>
      <c r="B33" s="24" t="s">
        <v>2620</v>
      </c>
      <c r="C33" s="30">
        <v>2</v>
      </c>
      <c r="D33" s="14" t="s">
        <v>547</v>
      </c>
    </row>
    <row r="34" spans="1:4" ht="15" customHeight="1">
      <c r="A34" s="9"/>
      <c r="B34" s="24" t="s">
        <v>2621</v>
      </c>
      <c r="C34" s="30">
        <v>4</v>
      </c>
      <c r="D34" s="14" t="s">
        <v>1107</v>
      </c>
    </row>
    <row r="35" spans="1:4" ht="19.5" customHeight="1">
      <c r="A35" s="9"/>
      <c r="B35" s="24" t="s">
        <v>2622</v>
      </c>
      <c r="C35" s="30">
        <v>1</v>
      </c>
      <c r="D35" s="14" t="s">
        <v>651</v>
      </c>
    </row>
    <row r="36" spans="1:4" ht="18" customHeight="1">
      <c r="A36" s="9"/>
      <c r="B36" s="24" t="s">
        <v>2568</v>
      </c>
      <c r="C36" s="30" t="s">
        <v>2623</v>
      </c>
      <c r="D36" s="14" t="s">
        <v>2569</v>
      </c>
    </row>
    <row r="37" spans="1:4" ht="17.25" customHeight="1">
      <c r="A37" s="9"/>
      <c r="B37" s="24" t="s">
        <v>2624</v>
      </c>
      <c r="C37" s="30">
        <v>2</v>
      </c>
      <c r="D37" s="14" t="s">
        <v>1179</v>
      </c>
    </row>
    <row r="38" spans="1:4" ht="16.5" customHeight="1">
      <c r="A38" s="9"/>
      <c r="B38" s="24" t="s">
        <v>2625</v>
      </c>
      <c r="C38" s="30">
        <v>2</v>
      </c>
      <c r="D38" s="14" t="s">
        <v>2571</v>
      </c>
    </row>
    <row r="39" spans="1:4" ht="19.5" customHeight="1">
      <c r="A39" s="9"/>
      <c r="B39" s="31" t="s">
        <v>2626</v>
      </c>
      <c r="C39" s="32" t="s">
        <v>2623</v>
      </c>
      <c r="D39" s="14" t="s">
        <v>1181</v>
      </c>
    </row>
    <row r="40" spans="1:4" ht="19.5" customHeight="1">
      <c r="A40" s="35"/>
      <c r="B40" s="24"/>
      <c r="C40" s="30"/>
      <c r="D40" s="14"/>
    </row>
    <row r="41" spans="1:4" ht="19.5" customHeight="1">
      <c r="A41" s="9" t="s">
        <v>1250</v>
      </c>
      <c r="B41" s="33" t="s">
        <v>2630</v>
      </c>
      <c r="C41" s="34" t="s">
        <v>2608</v>
      </c>
      <c r="D41" s="14" t="s">
        <v>2151</v>
      </c>
    </row>
    <row r="42" spans="1:4" ht="19.5" customHeight="1">
      <c r="A42" s="9"/>
      <c r="B42" s="24" t="s">
        <v>2631</v>
      </c>
      <c r="C42" s="30" t="s">
        <v>2609</v>
      </c>
      <c r="D42" s="14" t="s">
        <v>2170</v>
      </c>
    </row>
    <row r="43" spans="1:4" ht="19.5" customHeight="1">
      <c r="A43" s="9"/>
      <c r="B43" s="24" t="s">
        <v>2628</v>
      </c>
      <c r="C43" s="30" t="s">
        <v>2608</v>
      </c>
      <c r="D43" s="14" t="s">
        <v>2140</v>
      </c>
    </row>
    <row r="44" spans="1:4" ht="19.5" customHeight="1">
      <c r="A44" s="9"/>
      <c r="B44" s="24" t="s">
        <v>420</v>
      </c>
      <c r="C44" s="30" t="s">
        <v>2609</v>
      </c>
      <c r="D44" s="14" t="s">
        <v>422</v>
      </c>
    </row>
    <row r="45" spans="1:4" ht="19.5" customHeight="1">
      <c r="A45" s="9"/>
      <c r="B45" s="24" t="s">
        <v>420</v>
      </c>
      <c r="C45" s="30" t="s">
        <v>2608</v>
      </c>
      <c r="D45" s="14" t="s">
        <v>422</v>
      </c>
    </row>
    <row r="46" spans="1:4" ht="19.5" customHeight="1">
      <c r="A46" s="9"/>
      <c r="B46" s="24" t="s">
        <v>2610</v>
      </c>
      <c r="C46" s="30" t="s">
        <v>2608</v>
      </c>
      <c r="D46" s="14" t="s">
        <v>2184</v>
      </c>
    </row>
    <row r="47" spans="1:4" ht="19.5" customHeight="1">
      <c r="A47" s="9"/>
      <c r="B47" s="24" t="s">
        <v>2613</v>
      </c>
      <c r="C47" s="30" t="s">
        <v>2608</v>
      </c>
      <c r="D47" s="14" t="s">
        <v>2614</v>
      </c>
    </row>
    <row r="48" spans="1:4" ht="19.5" customHeight="1">
      <c r="A48" s="9"/>
      <c r="B48" s="24" t="s">
        <v>2632</v>
      </c>
      <c r="C48" s="30" t="s">
        <v>2608</v>
      </c>
      <c r="D48" s="14" t="s">
        <v>2633</v>
      </c>
    </row>
    <row r="49" spans="1:4" ht="19.5" customHeight="1">
      <c r="A49" s="9"/>
      <c r="B49" s="24" t="s">
        <v>2634</v>
      </c>
      <c r="C49" s="30" t="s">
        <v>2609</v>
      </c>
      <c r="D49" s="14" t="s">
        <v>424</v>
      </c>
    </row>
    <row r="50" spans="1:4" ht="19.5" customHeight="1">
      <c r="A50" s="9"/>
      <c r="B50" s="24" t="s">
        <v>2617</v>
      </c>
      <c r="C50" s="30">
        <v>1</v>
      </c>
      <c r="D50" s="14" t="s">
        <v>2293</v>
      </c>
    </row>
    <row r="51" spans="1:4" ht="19.5" customHeight="1">
      <c r="A51" s="9"/>
      <c r="B51" s="24" t="s">
        <v>2618</v>
      </c>
      <c r="C51" s="30">
        <v>1</v>
      </c>
      <c r="D51" s="14" t="s">
        <v>2317</v>
      </c>
    </row>
    <row r="52" spans="1:4" ht="19.5" customHeight="1">
      <c r="A52" s="9"/>
      <c r="B52" s="24" t="s">
        <v>2619</v>
      </c>
      <c r="C52" s="30">
        <v>2</v>
      </c>
      <c r="D52" s="14" t="s">
        <v>2565</v>
      </c>
    </row>
    <row r="53" spans="1:4" ht="19.5" customHeight="1">
      <c r="A53" s="9"/>
      <c r="B53" s="24" t="s">
        <v>2620</v>
      </c>
      <c r="C53" s="30">
        <v>2</v>
      </c>
      <c r="D53" s="14" t="s">
        <v>547</v>
      </c>
    </row>
    <row r="54" spans="1:4" ht="19.5" customHeight="1">
      <c r="A54" s="9"/>
      <c r="B54" s="24" t="s">
        <v>2621</v>
      </c>
      <c r="C54" s="30">
        <v>4</v>
      </c>
      <c r="D54" s="14" t="s">
        <v>1107</v>
      </c>
    </row>
    <row r="55" spans="1:4" ht="19.5" customHeight="1">
      <c r="A55" s="9"/>
      <c r="B55" s="24" t="s">
        <v>2622</v>
      </c>
      <c r="C55" s="30">
        <v>1</v>
      </c>
      <c r="D55" s="14" t="s">
        <v>651</v>
      </c>
    </row>
    <row r="56" spans="1:4" ht="19.5" customHeight="1">
      <c r="A56" s="9"/>
      <c r="B56" s="24" t="s">
        <v>2568</v>
      </c>
      <c r="C56" s="30" t="s">
        <v>2623</v>
      </c>
      <c r="D56" s="14" t="s">
        <v>2569</v>
      </c>
    </row>
    <row r="57" spans="1:4" ht="19.5" customHeight="1">
      <c r="A57" s="9"/>
      <c r="B57" s="24" t="s">
        <v>2624</v>
      </c>
      <c r="C57" s="30">
        <v>2</v>
      </c>
      <c r="D57" s="14" t="s">
        <v>1179</v>
      </c>
    </row>
    <row r="58" spans="1:4" ht="19.5" customHeight="1">
      <c r="A58" s="9"/>
      <c r="B58" s="24" t="s">
        <v>2625</v>
      </c>
      <c r="C58" s="30">
        <v>2</v>
      </c>
      <c r="D58" s="14" t="s">
        <v>2571</v>
      </c>
    </row>
    <row r="59" spans="1:4" ht="19.5" customHeight="1">
      <c r="A59" s="9"/>
      <c r="B59" s="31" t="s">
        <v>2626</v>
      </c>
      <c r="C59" s="32" t="s">
        <v>2623</v>
      </c>
      <c r="D59" s="14" t="s">
        <v>1181</v>
      </c>
    </row>
    <row r="60" spans="1:4" ht="19.5" customHeight="1">
      <c r="A60" s="9" t="s">
        <v>1246</v>
      </c>
      <c r="B60" s="33" t="s">
        <v>2630</v>
      </c>
      <c r="C60" s="34" t="s">
        <v>2608</v>
      </c>
      <c r="D60" s="14" t="s">
        <v>2151</v>
      </c>
    </row>
    <row r="61" spans="1:4" ht="19.5" customHeight="1">
      <c r="A61" s="9"/>
      <c r="B61" s="24" t="s">
        <v>2631</v>
      </c>
      <c r="C61" s="30" t="s">
        <v>2609</v>
      </c>
      <c r="D61" s="14" t="s">
        <v>2170</v>
      </c>
    </row>
    <row r="62" spans="1:4" ht="19.5" customHeight="1">
      <c r="A62" s="9"/>
      <c r="B62" s="24" t="s">
        <v>2607</v>
      </c>
      <c r="C62" s="30" t="s">
        <v>2608</v>
      </c>
      <c r="D62" s="14" t="s">
        <v>2144</v>
      </c>
    </row>
    <row r="63" spans="1:4" ht="19.5" customHeight="1">
      <c r="A63" s="9"/>
      <c r="B63" s="24" t="s">
        <v>420</v>
      </c>
      <c r="C63" s="30" t="s">
        <v>2609</v>
      </c>
      <c r="D63" s="14" t="s">
        <v>422</v>
      </c>
    </row>
    <row r="64" spans="1:4" ht="19.5" customHeight="1">
      <c r="A64" s="9"/>
      <c r="B64" s="24" t="s">
        <v>420</v>
      </c>
      <c r="C64" s="30" t="s">
        <v>2608</v>
      </c>
      <c r="D64" s="14" t="s">
        <v>422</v>
      </c>
    </row>
    <row r="65" spans="1:4" ht="19.5" customHeight="1">
      <c r="A65" s="9"/>
      <c r="B65" s="24" t="s">
        <v>2610</v>
      </c>
      <c r="C65" s="30" t="s">
        <v>2608</v>
      </c>
      <c r="D65" s="14" t="s">
        <v>2184</v>
      </c>
    </row>
    <row r="66" spans="1:4" ht="19.5" customHeight="1">
      <c r="A66" s="9"/>
      <c r="B66" s="24" t="s">
        <v>2613</v>
      </c>
      <c r="C66" s="30" t="s">
        <v>2608</v>
      </c>
      <c r="D66" s="14" t="s">
        <v>2614</v>
      </c>
    </row>
    <row r="67" spans="1:4" ht="19.5" customHeight="1">
      <c r="A67" s="9"/>
      <c r="B67" s="24" t="s">
        <v>2632</v>
      </c>
      <c r="C67" s="30" t="s">
        <v>2608</v>
      </c>
      <c r="D67" s="14" t="s">
        <v>2633</v>
      </c>
    </row>
    <row r="68" spans="1:4" ht="19.5" customHeight="1">
      <c r="A68" s="9"/>
      <c r="B68" s="24" t="s">
        <v>2634</v>
      </c>
      <c r="C68" s="30" t="s">
        <v>2609</v>
      </c>
      <c r="D68" s="14" t="s">
        <v>424</v>
      </c>
    </row>
    <row r="69" spans="1:4" ht="19.5" customHeight="1">
      <c r="A69" s="9"/>
      <c r="B69" s="24" t="s">
        <v>2617</v>
      </c>
      <c r="C69" s="30">
        <v>1</v>
      </c>
      <c r="D69" s="14" t="s">
        <v>2293</v>
      </c>
    </row>
    <row r="70" spans="1:4" ht="19.5" customHeight="1">
      <c r="A70" s="9"/>
      <c r="B70" s="24" t="s">
        <v>2618</v>
      </c>
      <c r="C70" s="30">
        <v>1</v>
      </c>
      <c r="D70" s="14" t="s">
        <v>2317</v>
      </c>
    </row>
    <row r="71" spans="1:4" ht="19.5" customHeight="1">
      <c r="A71" s="9"/>
      <c r="B71" s="24" t="s">
        <v>2619</v>
      </c>
      <c r="C71" s="30">
        <v>2</v>
      </c>
      <c r="D71" s="14" t="s">
        <v>2565</v>
      </c>
    </row>
    <row r="72" spans="1:4" ht="19.5" customHeight="1">
      <c r="A72" s="9"/>
      <c r="B72" s="24" t="s">
        <v>2620</v>
      </c>
      <c r="C72" s="30">
        <v>2</v>
      </c>
      <c r="D72" s="14" t="s">
        <v>547</v>
      </c>
    </row>
    <row r="73" spans="1:4" ht="19.5" customHeight="1">
      <c r="A73" s="9"/>
      <c r="B73" s="24" t="s">
        <v>2621</v>
      </c>
      <c r="C73" s="30">
        <v>4</v>
      </c>
      <c r="D73" s="14" t="s">
        <v>1107</v>
      </c>
    </row>
    <row r="74" spans="1:4" ht="19.5" customHeight="1">
      <c r="A74" s="9"/>
      <c r="B74" s="24" t="s">
        <v>2622</v>
      </c>
      <c r="C74" s="30">
        <v>1</v>
      </c>
      <c r="D74" s="14" t="s">
        <v>651</v>
      </c>
    </row>
    <row r="75" spans="1:4" ht="19.5" customHeight="1">
      <c r="A75" s="9"/>
      <c r="B75" s="24" t="s">
        <v>2568</v>
      </c>
      <c r="C75" s="30" t="s">
        <v>2623</v>
      </c>
      <c r="D75" s="14" t="s">
        <v>2569</v>
      </c>
    </row>
    <row r="76" spans="1:4" ht="19.5" customHeight="1">
      <c r="A76" s="9"/>
      <c r="B76" s="24" t="s">
        <v>2624</v>
      </c>
      <c r="C76" s="30">
        <v>2</v>
      </c>
      <c r="D76" s="14" t="s">
        <v>1179</v>
      </c>
    </row>
    <row r="77" spans="1:4" ht="13.5" customHeight="1">
      <c r="A77" s="9"/>
      <c r="B77" s="24" t="s">
        <v>2625</v>
      </c>
      <c r="C77" s="30">
        <v>2</v>
      </c>
      <c r="D77" s="14" t="s">
        <v>2571</v>
      </c>
    </row>
    <row r="78" spans="1:4" ht="19.5" customHeight="1">
      <c r="A78" s="9"/>
      <c r="B78" s="31" t="s">
        <v>2626</v>
      </c>
      <c r="C78" s="32" t="s">
        <v>2623</v>
      </c>
      <c r="D78" s="14" t="s">
        <v>1181</v>
      </c>
    </row>
    <row r="79" spans="1:4" ht="19.5" customHeight="1">
      <c r="A79" s="35"/>
      <c r="B79" s="24"/>
      <c r="C79" s="30"/>
      <c r="D79" s="14"/>
    </row>
    <row r="80" spans="1:4" ht="19.5" customHeight="1">
      <c r="A80" s="9" t="s">
        <v>1252</v>
      </c>
      <c r="B80" s="33" t="s">
        <v>2611</v>
      </c>
      <c r="C80" s="34" t="s">
        <v>2608</v>
      </c>
      <c r="D80" s="14" t="s">
        <v>2148</v>
      </c>
    </row>
    <row r="81" spans="1:4" ht="19.5" customHeight="1">
      <c r="A81" s="9"/>
      <c r="B81" s="24" t="s">
        <v>2627</v>
      </c>
      <c r="C81" s="30" t="s">
        <v>2609</v>
      </c>
      <c r="D81" s="14" t="s">
        <v>2167</v>
      </c>
    </row>
    <row r="82" spans="1:4" ht="19.5" customHeight="1">
      <c r="A82" s="9"/>
      <c r="B82" s="24" t="s">
        <v>2635</v>
      </c>
      <c r="C82" s="30" t="s">
        <v>2608</v>
      </c>
      <c r="D82" s="14" t="s">
        <v>2134</v>
      </c>
    </row>
    <row r="83" spans="1:4" ht="19.5" customHeight="1">
      <c r="A83" s="9"/>
      <c r="B83" s="24" t="s">
        <v>420</v>
      </c>
      <c r="C83" s="30" t="s">
        <v>2609</v>
      </c>
      <c r="D83" s="14" t="s">
        <v>422</v>
      </c>
    </row>
    <row r="84" spans="1:4" ht="19.5" customHeight="1">
      <c r="A84" s="9"/>
      <c r="B84" s="24" t="s">
        <v>420</v>
      </c>
      <c r="C84" s="30" t="s">
        <v>2608</v>
      </c>
      <c r="D84" s="14" t="s">
        <v>422</v>
      </c>
    </row>
    <row r="85" spans="1:4" ht="19.5" customHeight="1">
      <c r="A85" s="9"/>
      <c r="B85" s="24" t="s">
        <v>2610</v>
      </c>
      <c r="C85" s="30" t="s">
        <v>2608</v>
      </c>
      <c r="D85" s="14" t="s">
        <v>2184</v>
      </c>
    </row>
    <row r="86" spans="1:4" ht="19.5" customHeight="1">
      <c r="A86" s="9"/>
      <c r="B86" s="24" t="s">
        <v>2613</v>
      </c>
      <c r="C86" s="30" t="s">
        <v>2608</v>
      </c>
      <c r="D86" s="14" t="s">
        <v>2614</v>
      </c>
    </row>
    <row r="87" spans="1:4" ht="19.5" customHeight="1">
      <c r="A87" s="9"/>
      <c r="B87" s="24" t="s">
        <v>2636</v>
      </c>
      <c r="C87" s="30" t="s">
        <v>2608</v>
      </c>
      <c r="D87" s="14" t="s">
        <v>2174</v>
      </c>
    </row>
    <row r="88" spans="1:4" ht="19.5" customHeight="1">
      <c r="A88" s="9"/>
      <c r="B88" s="24" t="s">
        <v>2616</v>
      </c>
      <c r="C88" s="30" t="s">
        <v>2609</v>
      </c>
      <c r="D88" s="14" t="s">
        <v>424</v>
      </c>
    </row>
    <row r="89" spans="1:4" ht="19.5" customHeight="1">
      <c r="A89" s="9"/>
      <c r="B89" s="24" t="s">
        <v>2617</v>
      </c>
      <c r="C89" s="30">
        <v>1</v>
      </c>
      <c r="D89" s="14" t="s">
        <v>2293</v>
      </c>
    </row>
    <row r="90" spans="1:4" ht="19.5" customHeight="1">
      <c r="A90" s="9"/>
      <c r="B90" s="24" t="s">
        <v>2618</v>
      </c>
      <c r="C90" s="30">
        <v>1</v>
      </c>
      <c r="D90" s="14" t="s">
        <v>2317</v>
      </c>
    </row>
    <row r="91" spans="1:4" ht="19.5" customHeight="1">
      <c r="A91" s="9"/>
      <c r="B91" s="24" t="s">
        <v>2619</v>
      </c>
      <c r="C91" s="30">
        <v>2</v>
      </c>
      <c r="D91" s="14" t="s">
        <v>2565</v>
      </c>
    </row>
    <row r="92" spans="1:4" ht="19.5" customHeight="1">
      <c r="A92" s="9"/>
      <c r="B92" s="24" t="s">
        <v>2620</v>
      </c>
      <c r="C92" s="30">
        <v>2</v>
      </c>
      <c r="D92" s="14" t="s">
        <v>547</v>
      </c>
    </row>
    <row r="93" spans="1:4" ht="19.5" customHeight="1">
      <c r="A93" s="9"/>
      <c r="B93" s="24" t="s">
        <v>2621</v>
      </c>
      <c r="C93" s="30">
        <v>4</v>
      </c>
      <c r="D93" s="14" t="s">
        <v>1107</v>
      </c>
    </row>
    <row r="94" spans="1:4" ht="19.5" customHeight="1">
      <c r="A94" s="9"/>
      <c r="B94" s="24" t="s">
        <v>2622</v>
      </c>
      <c r="C94" s="30">
        <v>1</v>
      </c>
      <c r="D94" s="14" t="s">
        <v>651</v>
      </c>
    </row>
    <row r="95" spans="1:4" ht="19.5" customHeight="1">
      <c r="A95" s="9"/>
      <c r="B95" s="24" t="s">
        <v>2568</v>
      </c>
      <c r="C95" s="30" t="s">
        <v>2623</v>
      </c>
      <c r="D95" s="14" t="s">
        <v>2569</v>
      </c>
    </row>
    <row r="96" spans="1:4" ht="19.5" customHeight="1">
      <c r="A96" s="9"/>
      <c r="B96" s="24" t="s">
        <v>2624</v>
      </c>
      <c r="C96" s="30">
        <v>2</v>
      </c>
      <c r="D96" s="14" t="s">
        <v>1179</v>
      </c>
    </row>
    <row r="97" spans="1:4" ht="19.5" customHeight="1">
      <c r="A97" s="9"/>
      <c r="B97" s="24" t="s">
        <v>2625</v>
      </c>
      <c r="C97" s="30">
        <v>2</v>
      </c>
      <c r="D97" s="14" t="s">
        <v>2571</v>
      </c>
    </row>
    <row r="98" spans="1:4" ht="19.5" customHeight="1">
      <c r="A98" s="9"/>
      <c r="B98" s="31" t="s">
        <v>2626</v>
      </c>
      <c r="C98" s="32" t="s">
        <v>2623</v>
      </c>
      <c r="D98" s="14" t="s">
        <v>1181</v>
      </c>
    </row>
    <row r="99" spans="1:4" ht="19.5" customHeight="1">
      <c r="A99" s="9" t="s">
        <v>1254</v>
      </c>
      <c r="B99" s="33" t="s">
        <v>2630</v>
      </c>
      <c r="C99" s="34" t="s">
        <v>2608</v>
      </c>
      <c r="D99" s="14" t="s">
        <v>2151</v>
      </c>
    </row>
    <row r="100" spans="1:4" ht="19.5" customHeight="1">
      <c r="A100" s="9"/>
      <c r="B100" s="24" t="s">
        <v>2631</v>
      </c>
      <c r="C100" s="30" t="s">
        <v>2609</v>
      </c>
      <c r="D100" s="14" t="s">
        <v>2170</v>
      </c>
    </row>
    <row r="101" spans="1:4" ht="19.5" customHeight="1">
      <c r="A101" s="9"/>
      <c r="B101" s="24" t="s">
        <v>2635</v>
      </c>
      <c r="C101" s="30" t="s">
        <v>2608</v>
      </c>
      <c r="D101" s="14" t="s">
        <v>2134</v>
      </c>
    </row>
    <row r="102" spans="1:4" ht="19.5" customHeight="1">
      <c r="A102" s="9"/>
      <c r="B102" s="24" t="s">
        <v>420</v>
      </c>
      <c r="C102" s="30" t="s">
        <v>2609</v>
      </c>
      <c r="D102" s="14" t="s">
        <v>422</v>
      </c>
    </row>
    <row r="103" spans="1:4" ht="19.5" customHeight="1">
      <c r="A103" s="9"/>
      <c r="B103" s="24" t="s">
        <v>420</v>
      </c>
      <c r="C103" s="30" t="s">
        <v>2608</v>
      </c>
      <c r="D103" s="14" t="s">
        <v>422</v>
      </c>
    </row>
    <row r="104" spans="1:4" ht="19.5" customHeight="1">
      <c r="A104" s="9"/>
      <c r="B104" s="24" t="s">
        <v>2610</v>
      </c>
      <c r="C104" s="30" t="s">
        <v>2608</v>
      </c>
      <c r="D104" s="14" t="s">
        <v>2184</v>
      </c>
    </row>
    <row r="105" spans="1:4" ht="19.5" customHeight="1">
      <c r="A105" s="9"/>
      <c r="B105" s="24" t="s">
        <v>2613</v>
      </c>
      <c r="C105" s="30" t="s">
        <v>2608</v>
      </c>
      <c r="D105" s="14" t="s">
        <v>2614</v>
      </c>
    </row>
    <row r="106" spans="1:4" ht="19.5" customHeight="1">
      <c r="A106" s="9"/>
      <c r="B106" s="24" t="s">
        <v>2632</v>
      </c>
      <c r="C106" s="30" t="s">
        <v>2608</v>
      </c>
      <c r="D106" s="14" t="s">
        <v>2633</v>
      </c>
    </row>
    <row r="107" spans="1:4" ht="19.5" customHeight="1">
      <c r="A107" s="9"/>
      <c r="B107" s="24" t="s">
        <v>2634</v>
      </c>
      <c r="C107" s="30" t="s">
        <v>2609</v>
      </c>
      <c r="D107" s="14" t="s">
        <v>424</v>
      </c>
    </row>
    <row r="108" spans="1:4" ht="19.5" customHeight="1">
      <c r="A108" s="9"/>
      <c r="B108" s="24" t="s">
        <v>2617</v>
      </c>
      <c r="C108" s="30">
        <v>1</v>
      </c>
      <c r="D108" s="14" t="s">
        <v>2293</v>
      </c>
    </row>
    <row r="109" spans="1:4" ht="19.5" customHeight="1">
      <c r="A109" s="9"/>
      <c r="B109" s="24" t="s">
        <v>2618</v>
      </c>
      <c r="C109" s="30">
        <v>1</v>
      </c>
      <c r="D109" s="14" t="s">
        <v>2317</v>
      </c>
    </row>
    <row r="110" spans="1:4" ht="19.5" customHeight="1">
      <c r="A110" s="9"/>
      <c r="B110" s="24" t="s">
        <v>2619</v>
      </c>
      <c r="C110" s="30">
        <v>2</v>
      </c>
      <c r="D110" s="14" t="s">
        <v>2565</v>
      </c>
    </row>
    <row r="111" spans="1:4" ht="19.5" customHeight="1">
      <c r="A111" s="9"/>
      <c r="B111" s="24" t="s">
        <v>2620</v>
      </c>
      <c r="C111" s="30">
        <v>2</v>
      </c>
      <c r="D111" s="14" t="s">
        <v>547</v>
      </c>
    </row>
    <row r="112" spans="1:4" ht="19.5" customHeight="1">
      <c r="A112" s="9"/>
      <c r="B112" s="24" t="s">
        <v>2621</v>
      </c>
      <c r="C112" s="30">
        <v>4</v>
      </c>
      <c r="D112" s="14" t="s">
        <v>1107</v>
      </c>
    </row>
    <row r="113" spans="1:4" ht="19.5" customHeight="1">
      <c r="A113" s="9"/>
      <c r="B113" s="24" t="s">
        <v>2622</v>
      </c>
      <c r="C113" s="30">
        <v>1</v>
      </c>
      <c r="D113" s="14" t="s">
        <v>651</v>
      </c>
    </row>
    <row r="114" spans="1:4" ht="19.5" customHeight="1">
      <c r="A114" s="9"/>
      <c r="B114" s="24" t="s">
        <v>2568</v>
      </c>
      <c r="C114" s="30" t="s">
        <v>2623</v>
      </c>
      <c r="D114" s="14" t="s">
        <v>2569</v>
      </c>
    </row>
    <row r="115" spans="1:4" ht="19.5" customHeight="1">
      <c r="A115" s="9"/>
      <c r="B115" s="24" t="s">
        <v>2624</v>
      </c>
      <c r="C115" s="30">
        <v>2</v>
      </c>
      <c r="D115" s="14" t="s">
        <v>1179</v>
      </c>
    </row>
    <row r="116" spans="1:4" ht="15.75" customHeight="1">
      <c r="A116" s="9"/>
      <c r="B116" s="24" t="s">
        <v>2625</v>
      </c>
      <c r="C116" s="30">
        <v>2</v>
      </c>
      <c r="D116" s="14" t="s">
        <v>2571</v>
      </c>
    </row>
    <row r="117" spans="1:4" ht="19.5" customHeight="1">
      <c r="A117" s="9"/>
      <c r="B117" s="31" t="s">
        <v>2626</v>
      </c>
      <c r="C117" s="32" t="s">
        <v>2623</v>
      </c>
      <c r="D117" s="14" t="s">
        <v>1181</v>
      </c>
    </row>
    <row r="118" spans="1:4" ht="19.5" customHeight="1">
      <c r="A118" s="35"/>
      <c r="B118" s="24"/>
      <c r="C118" s="30"/>
      <c r="D118" s="14"/>
    </row>
    <row r="119" spans="1:4" ht="19.5" customHeight="1">
      <c r="A119" s="10" t="s">
        <v>1256</v>
      </c>
      <c r="B119" s="24" t="s">
        <v>2607</v>
      </c>
      <c r="C119" s="30" t="s">
        <v>2608</v>
      </c>
      <c r="D119" s="14" t="s">
        <v>2144</v>
      </c>
    </row>
    <row r="120" spans="1:4" ht="19.5" customHeight="1">
      <c r="A120" s="10"/>
      <c r="B120" s="24" t="s">
        <v>420</v>
      </c>
      <c r="C120" s="30" t="s">
        <v>2609</v>
      </c>
      <c r="D120" s="14" t="s">
        <v>422</v>
      </c>
    </row>
    <row r="121" spans="1:4" ht="19.5" customHeight="1">
      <c r="A121" s="10"/>
      <c r="B121" s="24" t="s">
        <v>2610</v>
      </c>
      <c r="C121" s="30" t="s">
        <v>2608</v>
      </c>
      <c r="D121" s="14" t="s">
        <v>2184</v>
      </c>
    </row>
    <row r="122" spans="1:4" ht="19.5" customHeight="1">
      <c r="A122" s="10"/>
      <c r="B122" s="24" t="s">
        <v>2611</v>
      </c>
      <c r="C122" s="30" t="s">
        <v>2608</v>
      </c>
      <c r="D122" s="14" t="s">
        <v>2148</v>
      </c>
    </row>
    <row r="123" spans="1:4" ht="19.5" customHeight="1">
      <c r="A123" s="10"/>
      <c r="B123" s="24" t="s">
        <v>420</v>
      </c>
      <c r="C123" s="30" t="s">
        <v>2609</v>
      </c>
      <c r="D123" s="14" t="s">
        <v>422</v>
      </c>
    </row>
    <row r="124" spans="1:4" ht="19.5" customHeight="1">
      <c r="A124" s="10"/>
      <c r="B124" s="24" t="s">
        <v>420</v>
      </c>
      <c r="C124" s="30" t="s">
        <v>2609</v>
      </c>
      <c r="D124" s="14" t="s">
        <v>422</v>
      </c>
    </row>
    <row r="125" spans="1:4" ht="19.5" customHeight="1">
      <c r="A125" s="10"/>
      <c r="B125" s="24" t="s">
        <v>2637</v>
      </c>
      <c r="C125" s="30" t="s">
        <v>2608</v>
      </c>
      <c r="D125" s="14" t="s">
        <v>2180</v>
      </c>
    </row>
    <row r="126" spans="1:4" ht="19.5" customHeight="1">
      <c r="A126" s="10"/>
      <c r="B126" s="24" t="s">
        <v>2638</v>
      </c>
      <c r="C126" s="30" t="s">
        <v>2608</v>
      </c>
      <c r="D126" s="14" t="s">
        <v>1898</v>
      </c>
    </row>
    <row r="127" spans="1:4" ht="19.5" customHeight="1">
      <c r="A127" s="10"/>
      <c r="B127" s="24" t="s">
        <v>2612</v>
      </c>
      <c r="C127" s="30" t="s">
        <v>2608</v>
      </c>
      <c r="D127" s="14" t="s">
        <v>2167</v>
      </c>
    </row>
    <row r="128" spans="1:4" ht="19.5" customHeight="1">
      <c r="A128" s="10"/>
      <c r="B128" s="24" t="s">
        <v>2613</v>
      </c>
      <c r="C128" s="30" t="s">
        <v>2608</v>
      </c>
      <c r="D128" s="14" t="s">
        <v>2614</v>
      </c>
    </row>
    <row r="129" spans="1:4" ht="19.5" customHeight="1">
      <c r="A129" s="10"/>
      <c r="B129" s="24" t="s">
        <v>2615</v>
      </c>
      <c r="C129" s="30" t="s">
        <v>2608</v>
      </c>
      <c r="D129" s="14" t="s">
        <v>2174</v>
      </c>
    </row>
    <row r="130" spans="1:4" ht="19.5" customHeight="1">
      <c r="A130" s="10"/>
      <c r="B130" s="24" t="s">
        <v>2616</v>
      </c>
      <c r="C130" s="30" t="s">
        <v>2609</v>
      </c>
      <c r="D130" s="14" t="s">
        <v>424</v>
      </c>
    </row>
    <row r="131" spans="1:4" ht="19.5" customHeight="1">
      <c r="A131" s="10"/>
      <c r="B131" s="24" t="s">
        <v>2617</v>
      </c>
      <c r="C131" s="30">
        <v>1</v>
      </c>
      <c r="D131" s="14" t="s">
        <v>2293</v>
      </c>
    </row>
    <row r="132" spans="1:4" ht="19.5" customHeight="1">
      <c r="A132" s="10"/>
      <c r="B132" s="24" t="s">
        <v>2618</v>
      </c>
      <c r="C132" s="30">
        <v>1</v>
      </c>
      <c r="D132" s="14" t="s">
        <v>2317</v>
      </c>
    </row>
    <row r="133" spans="1:4" ht="19.5" customHeight="1">
      <c r="A133" s="10"/>
      <c r="B133" s="24" t="s">
        <v>2619</v>
      </c>
      <c r="C133" s="30">
        <v>2</v>
      </c>
      <c r="D133" s="14" t="s">
        <v>2565</v>
      </c>
    </row>
    <row r="134" spans="1:4" ht="19.5" customHeight="1">
      <c r="A134" s="10"/>
      <c r="B134" s="24" t="s">
        <v>2639</v>
      </c>
      <c r="C134" s="30">
        <v>1</v>
      </c>
      <c r="D134" s="14" t="s">
        <v>2601</v>
      </c>
    </row>
    <row r="135" spans="1:4" ht="19.5" customHeight="1">
      <c r="A135" s="10"/>
      <c r="B135" s="24" t="s">
        <v>2640</v>
      </c>
      <c r="C135" s="30">
        <v>2</v>
      </c>
      <c r="D135" s="14" t="s">
        <v>1113</v>
      </c>
    </row>
    <row r="136" spans="1:4" ht="19.5" customHeight="1">
      <c r="A136" s="10"/>
      <c r="B136" s="24" t="s">
        <v>2641</v>
      </c>
      <c r="C136" s="30">
        <v>2</v>
      </c>
      <c r="D136" s="14" t="s">
        <v>557</v>
      </c>
    </row>
    <row r="137" spans="1:4" ht="19.5" customHeight="1">
      <c r="A137" s="10"/>
      <c r="B137" s="24" t="s">
        <v>2621</v>
      </c>
      <c r="C137" s="30">
        <v>4</v>
      </c>
      <c r="D137" s="14" t="s">
        <v>1107</v>
      </c>
    </row>
    <row r="138" spans="1:4" ht="19.5" customHeight="1">
      <c r="A138" s="10"/>
      <c r="B138" s="24" t="s">
        <v>2642</v>
      </c>
      <c r="C138" s="30">
        <v>1</v>
      </c>
      <c r="D138" s="14" t="s">
        <v>653</v>
      </c>
    </row>
    <row r="139" spans="1:4" ht="19.5" customHeight="1">
      <c r="A139" s="10"/>
      <c r="B139" s="24" t="s">
        <v>2568</v>
      </c>
      <c r="C139" s="30" t="s">
        <v>2623</v>
      </c>
      <c r="D139" s="14" t="s">
        <v>2569</v>
      </c>
    </row>
    <row r="140" spans="1:4" ht="19.5" customHeight="1">
      <c r="A140" s="10"/>
      <c r="B140" s="24" t="s">
        <v>2624</v>
      </c>
      <c r="C140" s="30">
        <v>2</v>
      </c>
      <c r="D140" s="14" t="s">
        <v>1179</v>
      </c>
    </row>
    <row r="141" spans="1:4" ht="19.5" customHeight="1">
      <c r="A141" s="10"/>
      <c r="B141" s="24" t="s">
        <v>2643</v>
      </c>
      <c r="C141" s="30">
        <v>2</v>
      </c>
      <c r="D141" s="14" t="s">
        <v>2575</v>
      </c>
    </row>
    <row r="142" spans="1:4" ht="19.5" customHeight="1">
      <c r="A142" s="10"/>
      <c r="B142" s="31" t="s">
        <v>2626</v>
      </c>
      <c r="C142" s="32" t="s">
        <v>2623</v>
      </c>
      <c r="D142" s="14" t="s">
        <v>1181</v>
      </c>
    </row>
    <row r="143" spans="1:4" ht="19.5" customHeight="1">
      <c r="A143" s="35"/>
      <c r="B143" s="24"/>
      <c r="C143" s="30"/>
      <c r="D143" s="14"/>
    </row>
    <row r="144" spans="1:4" ht="19.5" customHeight="1">
      <c r="A144" s="35"/>
      <c r="B144" s="24"/>
      <c r="C144" s="30"/>
      <c r="D144" s="14"/>
    </row>
    <row r="145" spans="1:4" ht="19.5" customHeight="1">
      <c r="A145" s="35"/>
      <c r="B145" s="24"/>
      <c r="C145" s="30"/>
      <c r="D145" s="14"/>
    </row>
    <row r="146" spans="1:4" ht="19.5" customHeight="1">
      <c r="A146" s="35"/>
      <c r="B146" s="24"/>
      <c r="C146" s="30"/>
      <c r="D146" s="14"/>
    </row>
    <row r="147" spans="1:4" ht="19.5" customHeight="1">
      <c r="A147" s="35"/>
      <c r="B147" s="24"/>
      <c r="C147" s="30"/>
      <c r="D147" s="14"/>
    </row>
    <row r="148" spans="1:4" ht="19.5" customHeight="1">
      <c r="A148" s="35"/>
      <c r="B148" s="24"/>
      <c r="C148" s="30"/>
      <c r="D148" s="14"/>
    </row>
    <row r="149" spans="1:4" ht="19.5" customHeight="1">
      <c r="A149" s="35"/>
      <c r="B149" s="24"/>
      <c r="C149" s="30"/>
      <c r="D149" s="14"/>
    </row>
    <row r="150" spans="1:4" ht="19.5" customHeight="1">
      <c r="A150" s="35"/>
      <c r="B150" s="24"/>
      <c r="C150" s="30"/>
      <c r="D150" s="14"/>
    </row>
    <row r="151" spans="1:4" ht="19.5" customHeight="1">
      <c r="A151" s="35"/>
      <c r="B151" s="24"/>
      <c r="C151" s="30"/>
      <c r="D151" s="14"/>
    </row>
    <row r="152" spans="1:4" ht="19.5" customHeight="1">
      <c r="A152" s="35"/>
      <c r="B152" s="24"/>
      <c r="C152" s="30"/>
      <c r="D152" s="14"/>
    </row>
    <row r="153" spans="1:4" ht="19.5" customHeight="1">
      <c r="A153" s="35"/>
      <c r="B153" s="24"/>
      <c r="C153" s="30"/>
      <c r="D153" s="14"/>
    </row>
    <row r="154" spans="1:4" ht="19.5" customHeight="1">
      <c r="A154" s="35"/>
      <c r="B154" s="24"/>
      <c r="C154" s="30"/>
      <c r="D154" s="14"/>
    </row>
    <row r="155" spans="1:4" ht="19.5" customHeight="1">
      <c r="A155" s="35"/>
      <c r="B155" s="24"/>
      <c r="C155" s="30"/>
      <c r="D155" s="14"/>
    </row>
    <row r="156" spans="1:4" ht="19.5" customHeight="1">
      <c r="A156" s="35"/>
      <c r="B156" s="24"/>
      <c r="C156" s="30"/>
      <c r="D156" s="14"/>
    </row>
    <row r="157" spans="1:4" ht="19.5" customHeight="1">
      <c r="A157" s="35"/>
      <c r="B157" s="24"/>
      <c r="C157" s="30"/>
      <c r="D157" s="14"/>
    </row>
    <row r="158" spans="1:4" ht="19.5" customHeight="1">
      <c r="A158" s="9" t="s">
        <v>1260</v>
      </c>
      <c r="B158" s="33" t="s">
        <v>2611</v>
      </c>
      <c r="C158" s="34" t="s">
        <v>2608</v>
      </c>
      <c r="D158" s="14" t="s">
        <v>2148</v>
      </c>
    </row>
    <row r="159" spans="1:4" ht="19.5" customHeight="1">
      <c r="A159" s="9"/>
      <c r="B159" s="24" t="s">
        <v>2627</v>
      </c>
      <c r="C159" s="30" t="s">
        <v>2609</v>
      </c>
      <c r="D159" s="14" t="s">
        <v>2167</v>
      </c>
    </row>
    <row r="160" spans="1:4" ht="19.5" customHeight="1">
      <c r="A160" s="9"/>
      <c r="B160" s="24" t="s">
        <v>2628</v>
      </c>
      <c r="C160" s="30" t="s">
        <v>2608</v>
      </c>
      <c r="D160" s="14" t="s">
        <v>2140</v>
      </c>
    </row>
    <row r="161" spans="1:4" ht="19.5" customHeight="1">
      <c r="A161" s="9"/>
      <c r="B161" s="24" t="s">
        <v>420</v>
      </c>
      <c r="C161" s="30" t="s">
        <v>2609</v>
      </c>
      <c r="D161" s="14" t="s">
        <v>422</v>
      </c>
    </row>
    <row r="162" spans="1:4" ht="19.5" customHeight="1">
      <c r="A162" s="9"/>
      <c r="B162" s="24" t="s">
        <v>420</v>
      </c>
      <c r="C162" s="30" t="s">
        <v>2609</v>
      </c>
      <c r="D162" s="14" t="s">
        <v>422</v>
      </c>
    </row>
    <row r="163" spans="1:4" ht="19.5" customHeight="1">
      <c r="A163" s="9"/>
      <c r="B163" s="24" t="s">
        <v>2638</v>
      </c>
      <c r="C163" s="30" t="s">
        <v>2608</v>
      </c>
      <c r="D163" s="14" t="s">
        <v>1898</v>
      </c>
    </row>
    <row r="164" spans="1:4" ht="19.5" customHeight="1">
      <c r="A164" s="9"/>
      <c r="B164" s="24" t="s">
        <v>2637</v>
      </c>
      <c r="C164" s="30" t="s">
        <v>2608</v>
      </c>
      <c r="D164" s="14" t="s">
        <v>2180</v>
      </c>
    </row>
    <row r="165" spans="1:4" ht="19.5" customHeight="1">
      <c r="A165" s="9"/>
      <c r="B165" s="24" t="s">
        <v>420</v>
      </c>
      <c r="C165" s="30" t="s">
        <v>2608</v>
      </c>
      <c r="D165" s="14" t="s">
        <v>422</v>
      </c>
    </row>
    <row r="166" spans="1:4" ht="15" customHeight="1">
      <c r="A166" s="9"/>
      <c r="B166" s="24" t="s">
        <v>2610</v>
      </c>
      <c r="C166" s="30" t="s">
        <v>2608</v>
      </c>
      <c r="D166" s="14" t="s">
        <v>2184</v>
      </c>
    </row>
    <row r="167" spans="1:4" ht="15" customHeight="1">
      <c r="A167" s="9"/>
      <c r="B167" s="24" t="s">
        <v>2613</v>
      </c>
      <c r="C167" s="30" t="s">
        <v>2608</v>
      </c>
      <c r="D167" s="14" t="s">
        <v>2614</v>
      </c>
    </row>
    <row r="168" spans="1:4" ht="15" customHeight="1">
      <c r="A168" s="9"/>
      <c r="B168" s="24" t="s">
        <v>2644</v>
      </c>
      <c r="C168" s="30" t="s">
        <v>2608</v>
      </c>
      <c r="D168" s="14" t="s">
        <v>2174</v>
      </c>
    </row>
    <row r="169" spans="1:4" ht="15" customHeight="1">
      <c r="A169" s="9"/>
      <c r="B169" s="24" t="s">
        <v>2616</v>
      </c>
      <c r="C169" s="30" t="s">
        <v>2609</v>
      </c>
      <c r="D169" s="14" t="s">
        <v>424</v>
      </c>
    </row>
    <row r="170" spans="1:4" ht="15" customHeight="1">
      <c r="A170" s="9"/>
      <c r="B170" s="24" t="s">
        <v>2617</v>
      </c>
      <c r="C170" s="30">
        <v>1</v>
      </c>
      <c r="D170" s="14" t="s">
        <v>2293</v>
      </c>
    </row>
    <row r="171" spans="1:4" ht="15" customHeight="1">
      <c r="A171" s="9"/>
      <c r="B171" s="24" t="s">
        <v>2618</v>
      </c>
      <c r="C171" s="30">
        <v>1</v>
      </c>
      <c r="D171" s="14" t="s">
        <v>2317</v>
      </c>
    </row>
    <row r="172" spans="1:4" ht="15" customHeight="1">
      <c r="A172" s="9"/>
      <c r="B172" s="24" t="s">
        <v>2619</v>
      </c>
      <c r="C172" s="30">
        <v>2</v>
      </c>
      <c r="D172" s="14" t="s">
        <v>2565</v>
      </c>
    </row>
    <row r="173" spans="1:4" ht="15" customHeight="1">
      <c r="A173" s="9"/>
      <c r="B173" s="24" t="s">
        <v>2640</v>
      </c>
      <c r="C173" s="30">
        <v>2</v>
      </c>
      <c r="D173" s="14" t="s">
        <v>1113</v>
      </c>
    </row>
    <row r="174" spans="1:4" ht="15" customHeight="1">
      <c r="A174" s="9"/>
      <c r="B174" s="24" t="s">
        <v>2639</v>
      </c>
      <c r="C174" s="30">
        <v>1</v>
      </c>
      <c r="D174" s="14" t="s">
        <v>2601</v>
      </c>
    </row>
    <row r="175" spans="1:4" ht="15" customHeight="1">
      <c r="A175" s="9"/>
      <c r="B175" s="24" t="s">
        <v>2620</v>
      </c>
      <c r="C175" s="30">
        <v>2</v>
      </c>
      <c r="D175" s="14" t="s">
        <v>547</v>
      </c>
    </row>
    <row r="176" spans="1:4" ht="15" customHeight="1">
      <c r="A176" s="9"/>
      <c r="B176" s="24" t="s">
        <v>2621</v>
      </c>
      <c r="C176" s="30">
        <v>4</v>
      </c>
      <c r="D176" s="14" t="s">
        <v>1107</v>
      </c>
    </row>
    <row r="177" spans="1:4" ht="15" customHeight="1">
      <c r="A177" s="9"/>
      <c r="B177" s="24" t="s">
        <v>2642</v>
      </c>
      <c r="C177" s="30">
        <v>1</v>
      </c>
      <c r="D177" s="14" t="s">
        <v>653</v>
      </c>
    </row>
    <row r="178" spans="1:4" ht="15" customHeight="1">
      <c r="A178" s="9"/>
      <c r="B178" s="24" t="s">
        <v>2568</v>
      </c>
      <c r="C178" s="30" t="s">
        <v>2623</v>
      </c>
      <c r="D178" s="14" t="s">
        <v>2569</v>
      </c>
    </row>
    <row r="179" spans="1:4" ht="15" customHeight="1">
      <c r="A179" s="9"/>
      <c r="B179" s="24" t="s">
        <v>2624</v>
      </c>
      <c r="C179" s="30">
        <v>2</v>
      </c>
      <c r="D179" s="14" t="s">
        <v>1179</v>
      </c>
    </row>
    <row r="180" spans="1:4" ht="15" customHeight="1">
      <c r="A180" s="9"/>
      <c r="B180" s="24" t="s">
        <v>2645</v>
      </c>
      <c r="C180" s="30">
        <v>2</v>
      </c>
      <c r="D180" s="14" t="s">
        <v>2571</v>
      </c>
    </row>
    <row r="181" spans="1:4" ht="15" customHeight="1">
      <c r="A181" s="9"/>
      <c r="B181" s="31" t="s">
        <v>2626</v>
      </c>
      <c r="C181" s="32" t="s">
        <v>2623</v>
      </c>
      <c r="D181" s="14" t="s">
        <v>1181</v>
      </c>
    </row>
    <row r="182" spans="1:4" ht="15" customHeight="1">
      <c r="A182" s="9" t="s">
        <v>1262</v>
      </c>
      <c r="B182" s="33" t="s">
        <v>2630</v>
      </c>
      <c r="C182" s="34" t="s">
        <v>2608</v>
      </c>
      <c r="D182" s="14" t="s">
        <v>2151</v>
      </c>
    </row>
    <row r="183" spans="1:4" ht="15" customHeight="1">
      <c r="A183" s="9"/>
      <c r="B183" s="24" t="s">
        <v>2631</v>
      </c>
      <c r="C183" s="30" t="s">
        <v>2609</v>
      </c>
      <c r="D183" s="14" t="s">
        <v>2170</v>
      </c>
    </row>
    <row r="184" spans="1:4" ht="15" customHeight="1">
      <c r="A184" s="9"/>
      <c r="B184" s="24" t="s">
        <v>2628</v>
      </c>
      <c r="C184" s="30" t="s">
        <v>2608</v>
      </c>
      <c r="D184" s="14" t="s">
        <v>2140</v>
      </c>
    </row>
    <row r="185" spans="1:4" ht="15" customHeight="1">
      <c r="A185" s="9"/>
      <c r="B185" s="24" t="s">
        <v>420</v>
      </c>
      <c r="C185" s="30" t="s">
        <v>2609</v>
      </c>
      <c r="D185" s="14" t="s">
        <v>422</v>
      </c>
    </row>
    <row r="186" spans="1:4" ht="15" customHeight="1">
      <c r="A186" s="9"/>
      <c r="B186" s="24" t="s">
        <v>420</v>
      </c>
      <c r="C186" s="30" t="s">
        <v>2609</v>
      </c>
      <c r="D186" s="14" t="s">
        <v>422</v>
      </c>
    </row>
    <row r="187" spans="1:4" ht="15" customHeight="1">
      <c r="A187" s="9"/>
      <c r="B187" s="24" t="s">
        <v>420</v>
      </c>
      <c r="C187" s="30" t="s">
        <v>2609</v>
      </c>
      <c r="D187" s="14" t="s">
        <v>422</v>
      </c>
    </row>
    <row r="188" spans="1:4" ht="15" customHeight="1">
      <c r="A188" s="9"/>
      <c r="B188" s="24" t="s">
        <v>2638</v>
      </c>
      <c r="C188" s="30" t="s">
        <v>2608</v>
      </c>
      <c r="D188" s="14" t="s">
        <v>1898</v>
      </c>
    </row>
    <row r="189" spans="1:4" ht="19.5" customHeight="1">
      <c r="A189" s="9"/>
      <c r="B189" s="24" t="s">
        <v>2637</v>
      </c>
      <c r="C189" s="30" t="s">
        <v>2608</v>
      </c>
      <c r="D189" s="14" t="s">
        <v>2180</v>
      </c>
    </row>
    <row r="190" spans="1:4" ht="15" customHeight="1">
      <c r="A190" s="9"/>
      <c r="B190" s="24" t="s">
        <v>2610</v>
      </c>
      <c r="C190" s="30" t="s">
        <v>2608</v>
      </c>
      <c r="D190" s="14" t="s">
        <v>2184</v>
      </c>
    </row>
    <row r="191" spans="1:4" ht="15" customHeight="1">
      <c r="A191" s="9"/>
      <c r="B191" s="24" t="s">
        <v>2613</v>
      </c>
      <c r="C191" s="30" t="s">
        <v>2608</v>
      </c>
      <c r="D191" s="14" t="s">
        <v>2614</v>
      </c>
    </row>
    <row r="192" spans="1:4" ht="15" customHeight="1">
      <c r="A192" s="9"/>
      <c r="B192" s="24" t="s">
        <v>2632</v>
      </c>
      <c r="C192" s="30" t="s">
        <v>2608</v>
      </c>
      <c r="D192" s="14" t="s">
        <v>2633</v>
      </c>
    </row>
    <row r="193" spans="1:4" ht="15" customHeight="1">
      <c r="A193" s="9"/>
      <c r="B193" s="24" t="s">
        <v>2634</v>
      </c>
      <c r="C193" s="30" t="s">
        <v>2609</v>
      </c>
      <c r="D193" s="14" t="s">
        <v>424</v>
      </c>
    </row>
    <row r="194" spans="1:4" ht="15" customHeight="1">
      <c r="A194" s="9"/>
      <c r="B194" s="24" t="s">
        <v>2617</v>
      </c>
      <c r="C194" s="30">
        <v>1</v>
      </c>
      <c r="D194" s="14" t="s">
        <v>2293</v>
      </c>
    </row>
    <row r="195" spans="1:4" ht="15" customHeight="1">
      <c r="A195" s="9"/>
      <c r="B195" s="24" t="s">
        <v>2618</v>
      </c>
      <c r="C195" s="30">
        <v>1</v>
      </c>
      <c r="D195" s="14" t="s">
        <v>2317</v>
      </c>
    </row>
    <row r="196" spans="1:4" ht="15" customHeight="1">
      <c r="A196" s="9"/>
      <c r="B196" s="24" t="s">
        <v>2619</v>
      </c>
      <c r="C196" s="30">
        <v>2</v>
      </c>
      <c r="D196" s="14" t="s">
        <v>2565</v>
      </c>
    </row>
    <row r="197" spans="1:4" ht="15" customHeight="1">
      <c r="A197" s="9"/>
      <c r="B197" s="24" t="s">
        <v>2640</v>
      </c>
      <c r="C197" s="30">
        <v>2</v>
      </c>
      <c r="D197" s="14" t="s">
        <v>1113</v>
      </c>
    </row>
    <row r="198" spans="1:4" ht="19.5" customHeight="1">
      <c r="A198" s="9"/>
      <c r="B198" s="24" t="s">
        <v>2639</v>
      </c>
      <c r="C198" s="30">
        <v>1</v>
      </c>
      <c r="D198" s="14" t="s">
        <v>2601</v>
      </c>
    </row>
    <row r="199" spans="1:4" ht="15" customHeight="1">
      <c r="A199" s="9"/>
      <c r="B199" s="24" t="s">
        <v>2620</v>
      </c>
      <c r="C199" s="30">
        <v>2</v>
      </c>
      <c r="D199" s="14" t="s">
        <v>547</v>
      </c>
    </row>
    <row r="200" spans="1:4" ht="15" customHeight="1">
      <c r="A200" s="9"/>
      <c r="B200" s="24" t="s">
        <v>2621</v>
      </c>
      <c r="C200" s="30">
        <v>4</v>
      </c>
      <c r="D200" s="14" t="s">
        <v>1107</v>
      </c>
    </row>
    <row r="201" spans="1:4" ht="15" customHeight="1">
      <c r="A201" s="9"/>
      <c r="B201" s="24" t="s">
        <v>2642</v>
      </c>
      <c r="C201" s="30">
        <v>1</v>
      </c>
      <c r="D201" s="14" t="s">
        <v>653</v>
      </c>
    </row>
    <row r="202" spans="1:4" ht="19.5" customHeight="1">
      <c r="A202" s="9"/>
      <c r="B202" s="24" t="s">
        <v>2568</v>
      </c>
      <c r="C202" s="30" t="s">
        <v>2623</v>
      </c>
      <c r="D202" s="14" t="s">
        <v>2569</v>
      </c>
    </row>
    <row r="203" spans="1:4" ht="15.75" customHeight="1">
      <c r="A203" s="9"/>
      <c r="B203" s="24" t="s">
        <v>2624</v>
      </c>
      <c r="C203" s="30">
        <v>2</v>
      </c>
      <c r="D203" s="14" t="s">
        <v>1179</v>
      </c>
    </row>
    <row r="204" spans="1:4" ht="15" customHeight="1">
      <c r="A204" s="9"/>
      <c r="B204" s="24" t="s">
        <v>2625</v>
      </c>
      <c r="C204" s="30">
        <v>2</v>
      </c>
      <c r="D204" s="14" t="s">
        <v>2571</v>
      </c>
    </row>
    <row r="205" spans="1:4" ht="19.5" customHeight="1">
      <c r="A205" s="9"/>
      <c r="B205" s="31" t="s">
        <v>2626</v>
      </c>
      <c r="C205" s="32" t="s">
        <v>2623</v>
      </c>
      <c r="D205" s="14" t="s">
        <v>1181</v>
      </c>
    </row>
    <row r="206" spans="1:4" ht="15" customHeight="1">
      <c r="A206" s="9" t="s">
        <v>1258</v>
      </c>
      <c r="B206" s="33" t="s">
        <v>2630</v>
      </c>
      <c r="C206" s="34" t="s">
        <v>2608</v>
      </c>
      <c r="D206" s="14" t="s">
        <v>2151</v>
      </c>
    </row>
    <row r="207" spans="1:4" ht="15" customHeight="1">
      <c r="A207" s="9"/>
      <c r="B207" s="24" t="s">
        <v>2631</v>
      </c>
      <c r="C207" s="30" t="s">
        <v>2609</v>
      </c>
      <c r="D207" s="14" t="s">
        <v>2170</v>
      </c>
    </row>
    <row r="208" spans="1:4" ht="15" customHeight="1">
      <c r="A208" s="9"/>
      <c r="B208" s="24" t="s">
        <v>2607</v>
      </c>
      <c r="C208" s="30" t="s">
        <v>2608</v>
      </c>
      <c r="D208" s="14" t="s">
        <v>2144</v>
      </c>
    </row>
    <row r="209" spans="1:4" ht="15" customHeight="1">
      <c r="A209" s="9"/>
      <c r="B209" s="24" t="s">
        <v>420</v>
      </c>
      <c r="C209" s="30" t="s">
        <v>2609</v>
      </c>
      <c r="D209" s="14" t="s">
        <v>422</v>
      </c>
    </row>
    <row r="210" spans="1:4" ht="15" customHeight="1">
      <c r="A210" s="9"/>
      <c r="B210" s="24" t="s">
        <v>420</v>
      </c>
      <c r="C210" s="30" t="s">
        <v>2609</v>
      </c>
      <c r="D210" s="14" t="s">
        <v>422</v>
      </c>
    </row>
    <row r="211" spans="1:4" ht="15" customHeight="1">
      <c r="A211" s="9"/>
      <c r="B211" s="24" t="s">
        <v>420</v>
      </c>
      <c r="C211" s="30" t="s">
        <v>2609</v>
      </c>
      <c r="D211" s="14" t="s">
        <v>422</v>
      </c>
    </row>
    <row r="212" spans="1:4" ht="15" customHeight="1">
      <c r="A212" s="9"/>
      <c r="B212" s="24" t="s">
        <v>2637</v>
      </c>
      <c r="C212" s="30" t="s">
        <v>2608</v>
      </c>
      <c r="D212" s="14" t="s">
        <v>2180</v>
      </c>
    </row>
    <row r="213" spans="1:4" ht="15" customHeight="1">
      <c r="A213" s="9"/>
      <c r="B213" s="24" t="s">
        <v>2638</v>
      </c>
      <c r="C213" s="30" t="s">
        <v>2608</v>
      </c>
      <c r="D213" s="14" t="s">
        <v>1898</v>
      </c>
    </row>
    <row r="214" spans="1:4" ht="15" customHeight="1">
      <c r="A214" s="9"/>
      <c r="B214" s="24" t="s">
        <v>2610</v>
      </c>
      <c r="C214" s="30" t="s">
        <v>2608</v>
      </c>
      <c r="D214" s="14" t="s">
        <v>2184</v>
      </c>
    </row>
    <row r="215" spans="1:4" ht="15" customHeight="1">
      <c r="A215" s="9"/>
      <c r="B215" s="24" t="s">
        <v>2613</v>
      </c>
      <c r="C215" s="30" t="s">
        <v>2608</v>
      </c>
      <c r="D215" s="14" t="s">
        <v>2614</v>
      </c>
    </row>
    <row r="216" spans="1:4" ht="15" customHeight="1">
      <c r="A216" s="9"/>
      <c r="B216" s="24" t="s">
        <v>2632</v>
      </c>
      <c r="C216" s="30" t="s">
        <v>2608</v>
      </c>
      <c r="D216" s="14" t="s">
        <v>2633</v>
      </c>
    </row>
    <row r="217" spans="1:4" ht="15" customHeight="1">
      <c r="A217" s="9"/>
      <c r="B217" s="24" t="s">
        <v>2646</v>
      </c>
      <c r="C217" s="30" t="s">
        <v>2609</v>
      </c>
      <c r="D217" s="14" t="s">
        <v>424</v>
      </c>
    </row>
    <row r="218" spans="1:4" ht="15" customHeight="1">
      <c r="A218" s="9"/>
      <c r="B218" s="24" t="s">
        <v>2617</v>
      </c>
      <c r="C218" s="30">
        <v>1</v>
      </c>
      <c r="D218" s="14" t="s">
        <v>2293</v>
      </c>
    </row>
    <row r="219" spans="1:4" ht="19.5" customHeight="1">
      <c r="A219" s="9"/>
      <c r="B219" s="24" t="s">
        <v>2618</v>
      </c>
      <c r="C219" s="30">
        <v>1</v>
      </c>
      <c r="D219" s="14" t="s">
        <v>2317</v>
      </c>
    </row>
    <row r="220" spans="1:4" ht="19.5" customHeight="1">
      <c r="A220" s="9"/>
      <c r="B220" s="24" t="s">
        <v>2619</v>
      </c>
      <c r="C220" s="30">
        <v>2</v>
      </c>
      <c r="D220" s="14" t="s">
        <v>2565</v>
      </c>
    </row>
    <row r="221" spans="1:4" ht="19.5" customHeight="1">
      <c r="A221" s="9"/>
      <c r="B221" s="24" t="s">
        <v>2641</v>
      </c>
      <c r="C221" s="30">
        <v>2</v>
      </c>
      <c r="D221" s="14" t="s">
        <v>557</v>
      </c>
    </row>
    <row r="222" spans="1:4" ht="15" customHeight="1">
      <c r="A222" s="9"/>
      <c r="B222" s="24" t="s">
        <v>2640</v>
      </c>
      <c r="C222" s="30">
        <v>2</v>
      </c>
      <c r="D222" s="14" t="s">
        <v>1113</v>
      </c>
    </row>
    <row r="223" spans="1:4" ht="15" customHeight="1">
      <c r="A223" s="9"/>
      <c r="B223" s="24" t="s">
        <v>2621</v>
      </c>
      <c r="C223" s="30">
        <v>4</v>
      </c>
      <c r="D223" s="14" t="s">
        <v>1107</v>
      </c>
    </row>
    <row r="224" spans="1:4" ht="15" customHeight="1">
      <c r="A224" s="9"/>
      <c r="B224" s="24" t="s">
        <v>2639</v>
      </c>
      <c r="C224" s="30">
        <v>1</v>
      </c>
      <c r="D224" s="14" t="s">
        <v>2601</v>
      </c>
    </row>
    <row r="225" spans="1:4" ht="15" customHeight="1">
      <c r="A225" s="9"/>
      <c r="B225" s="24" t="s">
        <v>2642</v>
      </c>
      <c r="C225" s="30">
        <v>1</v>
      </c>
      <c r="D225" s="14" t="s">
        <v>653</v>
      </c>
    </row>
    <row r="226" spans="1:4" ht="19.5" customHeight="1">
      <c r="A226" s="9"/>
      <c r="B226" s="24" t="s">
        <v>2568</v>
      </c>
      <c r="C226" s="30" t="s">
        <v>2623</v>
      </c>
      <c r="D226" s="14" t="s">
        <v>2569</v>
      </c>
    </row>
    <row r="227" spans="1:4" ht="16.5" customHeight="1">
      <c r="A227" s="9"/>
      <c r="B227" s="24" t="s">
        <v>2624</v>
      </c>
      <c r="C227" s="30">
        <v>2</v>
      </c>
      <c r="D227" s="14" t="s">
        <v>1179</v>
      </c>
    </row>
    <row r="228" spans="1:4" ht="17.25" customHeight="1">
      <c r="A228" s="9"/>
      <c r="B228" s="24" t="s">
        <v>2625</v>
      </c>
      <c r="C228" s="30">
        <v>2</v>
      </c>
      <c r="D228" s="14" t="s">
        <v>2571</v>
      </c>
    </row>
    <row r="229" spans="1:4" ht="19.5" customHeight="1">
      <c r="A229" s="9"/>
      <c r="B229" s="31" t="s">
        <v>2626</v>
      </c>
      <c r="C229" s="32" t="s">
        <v>2623</v>
      </c>
      <c r="D229" s="14" t="s">
        <v>1181</v>
      </c>
    </row>
    <row r="230" spans="1:4" ht="19.5" customHeight="1">
      <c r="A230" s="9" t="s">
        <v>1264</v>
      </c>
      <c r="B230" s="33" t="s">
        <v>2611</v>
      </c>
      <c r="C230" s="34" t="s">
        <v>2608</v>
      </c>
      <c r="D230" s="14" t="s">
        <v>2148</v>
      </c>
    </row>
    <row r="231" spans="1:4" ht="19.5" customHeight="1">
      <c r="A231" s="9"/>
      <c r="B231" s="24" t="s">
        <v>2627</v>
      </c>
      <c r="C231" s="30" t="s">
        <v>2609</v>
      </c>
      <c r="D231" s="14" t="s">
        <v>2167</v>
      </c>
    </row>
    <row r="232" spans="1:4" ht="19.5" customHeight="1">
      <c r="A232" s="9"/>
      <c r="B232" s="24" t="s">
        <v>2635</v>
      </c>
      <c r="C232" s="30" t="s">
        <v>2608</v>
      </c>
      <c r="D232" s="14" t="s">
        <v>2134</v>
      </c>
    </row>
    <row r="233" spans="1:4" ht="15" customHeight="1">
      <c r="A233" s="9"/>
      <c r="B233" s="24" t="s">
        <v>420</v>
      </c>
      <c r="C233" s="30" t="s">
        <v>2609</v>
      </c>
      <c r="D233" s="14" t="s">
        <v>422</v>
      </c>
    </row>
    <row r="234" spans="1:4" ht="15" customHeight="1">
      <c r="A234" s="9"/>
      <c r="B234" s="24" t="s">
        <v>420</v>
      </c>
      <c r="C234" s="30" t="s">
        <v>2608</v>
      </c>
      <c r="D234" s="14" t="s">
        <v>422</v>
      </c>
    </row>
    <row r="235" spans="1:4" ht="15" customHeight="1">
      <c r="A235" s="9"/>
      <c r="B235" s="24" t="s">
        <v>2637</v>
      </c>
      <c r="C235" s="30" t="s">
        <v>2608</v>
      </c>
      <c r="D235" s="14" t="s">
        <v>2180</v>
      </c>
    </row>
    <row r="236" spans="1:4" ht="15" customHeight="1">
      <c r="A236" s="9"/>
      <c r="B236" s="24" t="s">
        <v>2610</v>
      </c>
      <c r="C236" s="30" t="s">
        <v>2608</v>
      </c>
      <c r="D236" s="14" t="s">
        <v>2184</v>
      </c>
    </row>
    <row r="237" spans="1:4" ht="15" customHeight="1">
      <c r="A237" s="9"/>
      <c r="B237" s="24" t="s">
        <v>420</v>
      </c>
      <c r="C237" s="30" t="s">
        <v>2609</v>
      </c>
      <c r="D237" s="14" t="s">
        <v>422</v>
      </c>
    </row>
    <row r="238" spans="1:4" ht="15" customHeight="1">
      <c r="A238" s="9"/>
      <c r="B238" s="24" t="s">
        <v>2638</v>
      </c>
      <c r="C238" s="30" t="s">
        <v>2608</v>
      </c>
      <c r="D238" s="14" t="s">
        <v>1898</v>
      </c>
    </row>
    <row r="239" spans="1:4" ht="15" customHeight="1">
      <c r="A239" s="9"/>
      <c r="B239" s="24" t="s">
        <v>2613</v>
      </c>
      <c r="C239" s="30" t="s">
        <v>2608</v>
      </c>
      <c r="D239" s="14" t="s">
        <v>2614</v>
      </c>
    </row>
    <row r="240" spans="1:4" ht="15" customHeight="1">
      <c r="A240" s="9"/>
      <c r="B240" s="24" t="s">
        <v>2636</v>
      </c>
      <c r="C240" s="30" t="s">
        <v>2608</v>
      </c>
      <c r="D240" s="14" t="s">
        <v>2174</v>
      </c>
    </row>
    <row r="241" spans="1:4" ht="15" customHeight="1">
      <c r="A241" s="9"/>
      <c r="B241" s="24" t="s">
        <v>2616</v>
      </c>
      <c r="C241" s="30" t="s">
        <v>2609</v>
      </c>
      <c r="D241" s="14" t="s">
        <v>424</v>
      </c>
    </row>
    <row r="242" spans="1:4" ht="15" customHeight="1">
      <c r="A242" s="9"/>
      <c r="B242" s="24" t="s">
        <v>2617</v>
      </c>
      <c r="C242" s="30">
        <v>1</v>
      </c>
      <c r="D242" s="14" t="s">
        <v>2293</v>
      </c>
    </row>
    <row r="243" spans="1:4" ht="15" customHeight="1">
      <c r="A243" s="9"/>
      <c r="B243" s="24" t="s">
        <v>2618</v>
      </c>
      <c r="C243" s="30">
        <v>1</v>
      </c>
      <c r="D243" s="14" t="s">
        <v>2317</v>
      </c>
    </row>
    <row r="244" spans="1:4" ht="15" customHeight="1">
      <c r="A244" s="9"/>
      <c r="B244" s="24" t="s">
        <v>2619</v>
      </c>
      <c r="C244" s="30">
        <v>2</v>
      </c>
      <c r="D244" s="14" t="s">
        <v>2565</v>
      </c>
    </row>
    <row r="245" spans="1:4" ht="15" customHeight="1">
      <c r="A245" s="9"/>
      <c r="B245" s="24" t="s">
        <v>2639</v>
      </c>
      <c r="C245" s="30">
        <v>1</v>
      </c>
      <c r="D245" s="14" t="s">
        <v>2601</v>
      </c>
    </row>
    <row r="246" spans="1:4" ht="15" customHeight="1">
      <c r="A246" s="9"/>
      <c r="B246" s="24" t="s">
        <v>2641</v>
      </c>
      <c r="C246" s="30">
        <v>2</v>
      </c>
      <c r="D246" s="14" t="s">
        <v>557</v>
      </c>
    </row>
    <row r="247" spans="1:4" ht="15" customHeight="1">
      <c r="A247" s="9"/>
      <c r="B247" s="24" t="s">
        <v>2621</v>
      </c>
      <c r="C247" s="30">
        <v>4</v>
      </c>
      <c r="D247" s="14" t="s">
        <v>1107</v>
      </c>
    </row>
    <row r="248" spans="1:4" ht="15" customHeight="1">
      <c r="A248" s="9"/>
      <c r="B248" s="24" t="s">
        <v>2640</v>
      </c>
      <c r="C248" s="30">
        <v>2</v>
      </c>
      <c r="D248" s="14" t="s">
        <v>1113</v>
      </c>
    </row>
    <row r="249" spans="1:4" ht="15" customHeight="1">
      <c r="A249" s="9"/>
      <c r="B249" s="24" t="s">
        <v>2642</v>
      </c>
      <c r="C249" s="30">
        <v>1</v>
      </c>
      <c r="D249" s="14" t="s">
        <v>653</v>
      </c>
    </row>
    <row r="250" spans="1:4" ht="15" customHeight="1">
      <c r="A250" s="9"/>
      <c r="B250" s="24" t="s">
        <v>2568</v>
      </c>
      <c r="C250" s="30" t="s">
        <v>2623</v>
      </c>
      <c r="D250" s="14" t="s">
        <v>2569</v>
      </c>
    </row>
    <row r="251" spans="1:4" ht="16.5" customHeight="1">
      <c r="A251" s="9"/>
      <c r="B251" s="24" t="s">
        <v>2624</v>
      </c>
      <c r="C251" s="30">
        <v>2</v>
      </c>
      <c r="D251" s="14" t="s">
        <v>1179</v>
      </c>
    </row>
    <row r="252" spans="1:4" ht="15.75" customHeight="1">
      <c r="A252" s="9"/>
      <c r="B252" s="24" t="s">
        <v>2625</v>
      </c>
      <c r="C252" s="30">
        <v>2</v>
      </c>
      <c r="D252" s="14" t="s">
        <v>2571</v>
      </c>
    </row>
    <row r="253" spans="1:4" ht="19.5" customHeight="1">
      <c r="A253" s="9"/>
      <c r="B253" s="31" t="s">
        <v>2626</v>
      </c>
      <c r="C253" s="32" t="s">
        <v>2623</v>
      </c>
      <c r="D253" s="14" t="s">
        <v>1181</v>
      </c>
    </row>
    <row r="254" spans="1:4" ht="19.5" customHeight="1">
      <c r="A254" s="9" t="s">
        <v>1266</v>
      </c>
      <c r="B254" s="33" t="s">
        <v>2630</v>
      </c>
      <c r="C254" s="34" t="s">
        <v>2608</v>
      </c>
      <c r="D254" s="14" t="s">
        <v>2151</v>
      </c>
    </row>
    <row r="255" spans="1:4" ht="19.5" customHeight="1">
      <c r="A255" s="9"/>
      <c r="B255" s="24" t="s">
        <v>2631</v>
      </c>
      <c r="C255" s="30" t="s">
        <v>2609</v>
      </c>
      <c r="D255" s="14" t="s">
        <v>2170</v>
      </c>
    </row>
    <row r="256" spans="1:4" ht="19.5" customHeight="1">
      <c r="A256" s="9"/>
      <c r="B256" s="24" t="s">
        <v>2635</v>
      </c>
      <c r="C256" s="30" t="s">
        <v>2608</v>
      </c>
      <c r="D256" s="14" t="s">
        <v>2134</v>
      </c>
    </row>
    <row r="257" spans="1:4" ht="19.5" customHeight="1">
      <c r="A257" s="9"/>
      <c r="B257" s="24" t="s">
        <v>420</v>
      </c>
      <c r="C257" s="30" t="s">
        <v>2609</v>
      </c>
      <c r="D257" s="14" t="s">
        <v>422</v>
      </c>
    </row>
    <row r="258" spans="1:4" ht="16.5" customHeight="1">
      <c r="A258" s="9"/>
      <c r="B258" s="24" t="s">
        <v>420</v>
      </c>
      <c r="C258" s="30" t="s">
        <v>2609</v>
      </c>
      <c r="D258" s="14" t="s">
        <v>422</v>
      </c>
    </row>
    <row r="259" spans="1:4" ht="17.25" customHeight="1">
      <c r="A259" s="9"/>
      <c r="B259" s="24" t="s">
        <v>420</v>
      </c>
      <c r="C259" s="30" t="s">
        <v>2609</v>
      </c>
      <c r="D259" s="14" t="s">
        <v>422</v>
      </c>
    </row>
    <row r="260" spans="1:4" ht="19.5" customHeight="1">
      <c r="A260" s="9"/>
      <c r="B260" s="24" t="s">
        <v>2637</v>
      </c>
      <c r="C260" s="30" t="s">
        <v>2608</v>
      </c>
      <c r="D260" s="14" t="s">
        <v>2180</v>
      </c>
    </row>
    <row r="261" spans="1:4" ht="19.5" customHeight="1">
      <c r="A261" s="9"/>
      <c r="B261" s="24" t="s">
        <v>2638</v>
      </c>
      <c r="C261" s="30" t="s">
        <v>2608</v>
      </c>
      <c r="D261" s="14" t="s">
        <v>1898</v>
      </c>
    </row>
    <row r="262" spans="1:4" ht="19.5" customHeight="1">
      <c r="A262" s="9"/>
      <c r="B262" s="24" t="s">
        <v>2610</v>
      </c>
      <c r="C262" s="30" t="s">
        <v>2608</v>
      </c>
      <c r="D262" s="14" t="s">
        <v>2184</v>
      </c>
    </row>
    <row r="263" spans="1:4" ht="19.5" customHeight="1">
      <c r="A263" s="9"/>
      <c r="B263" s="24" t="s">
        <v>2613</v>
      </c>
      <c r="C263" s="30" t="s">
        <v>2608</v>
      </c>
      <c r="D263" s="14" t="s">
        <v>2614</v>
      </c>
    </row>
    <row r="264" spans="1:4" ht="19.5" customHeight="1">
      <c r="A264" s="9"/>
      <c r="B264" s="24" t="s">
        <v>2632</v>
      </c>
      <c r="C264" s="30" t="s">
        <v>2608</v>
      </c>
      <c r="D264" s="14" t="s">
        <v>2633</v>
      </c>
    </row>
    <row r="265" spans="1:4" ht="19.5" customHeight="1">
      <c r="A265" s="9"/>
      <c r="B265" s="24" t="s">
        <v>2634</v>
      </c>
      <c r="C265" s="30" t="s">
        <v>2609</v>
      </c>
      <c r="D265" s="14" t="s">
        <v>424</v>
      </c>
    </row>
    <row r="266" spans="1:4" ht="19.5" customHeight="1">
      <c r="A266" s="9"/>
      <c r="B266" s="24" t="s">
        <v>2617</v>
      </c>
      <c r="C266" s="30">
        <v>1</v>
      </c>
      <c r="D266" s="14" t="s">
        <v>2293</v>
      </c>
    </row>
    <row r="267" spans="1:4" ht="15" customHeight="1">
      <c r="A267" s="9"/>
      <c r="B267" s="24" t="s">
        <v>2618</v>
      </c>
      <c r="C267" s="30">
        <v>1</v>
      </c>
      <c r="D267" s="14" t="s">
        <v>2317</v>
      </c>
    </row>
    <row r="268" spans="1:4" ht="17.25" customHeight="1">
      <c r="A268" s="9"/>
      <c r="B268" s="24" t="s">
        <v>2619</v>
      </c>
      <c r="C268" s="30">
        <v>2</v>
      </c>
      <c r="D268" s="14" t="s">
        <v>2565</v>
      </c>
    </row>
    <row r="269" spans="1:4" ht="17.25" customHeight="1">
      <c r="A269" s="9"/>
      <c r="B269" s="24" t="s">
        <v>2639</v>
      </c>
      <c r="C269" s="30">
        <v>1</v>
      </c>
      <c r="D269" s="14" t="s">
        <v>2601</v>
      </c>
    </row>
    <row r="270" spans="1:4" ht="15.75" customHeight="1">
      <c r="A270" s="9"/>
      <c r="B270" s="24" t="s">
        <v>2640</v>
      </c>
      <c r="C270" s="30">
        <v>2</v>
      </c>
      <c r="D270" s="14" t="s">
        <v>1113</v>
      </c>
    </row>
    <row r="271" spans="1:4" ht="18" customHeight="1">
      <c r="A271" s="9"/>
      <c r="B271" s="24" t="s">
        <v>2620</v>
      </c>
      <c r="C271" s="30">
        <v>2</v>
      </c>
      <c r="D271" s="14" t="s">
        <v>547</v>
      </c>
    </row>
    <row r="272" spans="1:4" ht="15.75" customHeight="1">
      <c r="A272" s="9"/>
      <c r="B272" s="24" t="s">
        <v>2621</v>
      </c>
      <c r="C272" s="30">
        <v>4</v>
      </c>
      <c r="D272" s="14" t="s">
        <v>1107</v>
      </c>
    </row>
    <row r="273" spans="1:4" ht="16.5" customHeight="1">
      <c r="A273" s="9"/>
      <c r="B273" s="24" t="s">
        <v>2642</v>
      </c>
      <c r="C273" s="30">
        <v>1</v>
      </c>
      <c r="D273" s="14" t="s">
        <v>653</v>
      </c>
    </row>
    <row r="274" spans="1:4" ht="15.75" customHeight="1">
      <c r="A274" s="9"/>
      <c r="B274" s="24" t="s">
        <v>2568</v>
      </c>
      <c r="C274" s="30" t="s">
        <v>2623</v>
      </c>
      <c r="D274" s="14" t="s">
        <v>2569</v>
      </c>
    </row>
    <row r="275" spans="1:4" ht="15" customHeight="1">
      <c r="A275" s="9"/>
      <c r="B275" s="24" t="s">
        <v>2624</v>
      </c>
      <c r="C275" s="30">
        <v>2</v>
      </c>
      <c r="D275" s="14" t="s">
        <v>1179</v>
      </c>
    </row>
    <row r="276" spans="1:4" ht="19.5" customHeight="1">
      <c r="A276" s="9"/>
      <c r="B276" s="24" t="s">
        <v>2625</v>
      </c>
      <c r="C276" s="30">
        <v>2</v>
      </c>
      <c r="D276" s="14" t="s">
        <v>2571</v>
      </c>
    </row>
    <row r="277" spans="1:4" ht="15.75" customHeight="1">
      <c r="A277" s="9"/>
      <c r="B277" s="31" t="s">
        <v>2626</v>
      </c>
      <c r="C277" s="32" t="s">
        <v>2623</v>
      </c>
      <c r="D277" s="14" t="s">
        <v>1181</v>
      </c>
    </row>
    <row r="278" spans="1:4" ht="15" customHeight="1">
      <c r="A278" s="9" t="s">
        <v>1268</v>
      </c>
      <c r="B278" s="33" t="s">
        <v>2611</v>
      </c>
      <c r="C278" s="34" t="s">
        <v>2608</v>
      </c>
      <c r="D278" s="14" t="s">
        <v>2148</v>
      </c>
    </row>
    <row r="279" spans="1:4" ht="15" customHeight="1">
      <c r="A279" s="9"/>
      <c r="B279" s="24" t="s">
        <v>2627</v>
      </c>
      <c r="C279" s="30" t="s">
        <v>2609</v>
      </c>
      <c r="D279" s="14" t="s">
        <v>2167</v>
      </c>
    </row>
    <row r="280" spans="1:4" ht="15" customHeight="1">
      <c r="A280" s="9"/>
      <c r="B280" s="24" t="s">
        <v>2647</v>
      </c>
      <c r="C280" s="30" t="s">
        <v>2608</v>
      </c>
      <c r="D280" s="14" t="s">
        <v>2144</v>
      </c>
    </row>
    <row r="281" spans="1:4" ht="15" customHeight="1">
      <c r="A281" s="9"/>
      <c r="B281" s="24" t="s">
        <v>420</v>
      </c>
      <c r="C281" s="30" t="s">
        <v>2609</v>
      </c>
      <c r="D281" s="14" t="s">
        <v>422</v>
      </c>
    </row>
    <row r="282" spans="1:4" ht="15" customHeight="1">
      <c r="A282" s="9"/>
      <c r="B282" s="24" t="s">
        <v>420</v>
      </c>
      <c r="C282" s="30" t="s">
        <v>2608</v>
      </c>
      <c r="D282" s="14" t="s">
        <v>422</v>
      </c>
    </row>
    <row r="283" spans="1:4" ht="15" customHeight="1">
      <c r="A283" s="9"/>
      <c r="B283" s="24" t="s">
        <v>2648</v>
      </c>
      <c r="C283" s="30" t="s">
        <v>2608</v>
      </c>
      <c r="D283" s="14" t="s">
        <v>426</v>
      </c>
    </row>
    <row r="284" spans="1:4" ht="15" customHeight="1">
      <c r="A284" s="9"/>
      <c r="B284" s="24" t="s">
        <v>420</v>
      </c>
      <c r="C284" s="30" t="s">
        <v>2609</v>
      </c>
      <c r="D284" s="14" t="s">
        <v>422</v>
      </c>
    </row>
    <row r="285" spans="1:4" ht="15" customHeight="1">
      <c r="A285" s="9"/>
      <c r="B285" s="24" t="s">
        <v>2610</v>
      </c>
      <c r="C285" s="30" t="s">
        <v>2608</v>
      </c>
      <c r="D285" s="14" t="s">
        <v>2184</v>
      </c>
    </row>
    <row r="286" spans="1:4" ht="15" customHeight="1">
      <c r="A286" s="9"/>
      <c r="B286" s="24" t="s">
        <v>2649</v>
      </c>
      <c r="C286" s="30" t="s">
        <v>2608</v>
      </c>
      <c r="D286" s="14" t="s">
        <v>2056</v>
      </c>
    </row>
    <row r="287" spans="1:4" ht="15" customHeight="1">
      <c r="A287" s="9"/>
      <c r="B287" s="24" t="s">
        <v>2613</v>
      </c>
      <c r="C287" s="30" t="s">
        <v>2608</v>
      </c>
      <c r="D287" s="14" t="s">
        <v>2614</v>
      </c>
    </row>
    <row r="288" spans="1:4" ht="15" customHeight="1">
      <c r="A288" s="9"/>
      <c r="B288" s="24" t="s">
        <v>2636</v>
      </c>
      <c r="C288" s="30" t="s">
        <v>2608</v>
      </c>
      <c r="D288" s="14" t="s">
        <v>2174</v>
      </c>
    </row>
    <row r="289" spans="1:4" ht="15" customHeight="1">
      <c r="A289" s="9"/>
      <c r="B289" s="24" t="s">
        <v>2616</v>
      </c>
      <c r="C289" s="30" t="s">
        <v>2609</v>
      </c>
      <c r="D289" s="14" t="s">
        <v>424</v>
      </c>
    </row>
    <row r="290" spans="1:4" ht="15" customHeight="1">
      <c r="A290" s="9"/>
      <c r="B290" s="24" t="s">
        <v>2617</v>
      </c>
      <c r="C290" s="30">
        <v>1</v>
      </c>
      <c r="D290" s="14" t="s">
        <v>2293</v>
      </c>
    </row>
    <row r="291" spans="1:4" ht="15" customHeight="1">
      <c r="A291" s="9"/>
      <c r="B291" s="24" t="s">
        <v>2618</v>
      </c>
      <c r="C291" s="30">
        <v>1</v>
      </c>
      <c r="D291" s="14" t="s">
        <v>2317</v>
      </c>
    </row>
    <row r="292" spans="1:4" ht="15" customHeight="1">
      <c r="A292" s="9"/>
      <c r="B292" s="24" t="s">
        <v>2619</v>
      </c>
      <c r="C292" s="30">
        <v>2</v>
      </c>
      <c r="D292" s="14" t="s">
        <v>2565</v>
      </c>
    </row>
    <row r="293" spans="1:4" ht="15" customHeight="1">
      <c r="A293" s="9"/>
      <c r="B293" s="24" t="s">
        <v>2620</v>
      </c>
      <c r="C293" s="30">
        <v>2</v>
      </c>
      <c r="D293" s="14" t="s">
        <v>547</v>
      </c>
    </row>
    <row r="294" spans="1:4" ht="15" customHeight="1">
      <c r="A294" s="9"/>
      <c r="B294" s="24" t="s">
        <v>2621</v>
      </c>
      <c r="C294" s="30">
        <v>4</v>
      </c>
      <c r="D294" s="14" t="s">
        <v>1107</v>
      </c>
    </row>
    <row r="295" spans="1:4" ht="15" customHeight="1">
      <c r="A295" s="9"/>
      <c r="B295" s="24" t="s">
        <v>2622</v>
      </c>
      <c r="C295" s="30">
        <v>1</v>
      </c>
      <c r="D295" s="14" t="s">
        <v>651</v>
      </c>
    </row>
    <row r="296" spans="1:4" ht="15" customHeight="1">
      <c r="A296" s="9"/>
      <c r="B296" s="24" t="s">
        <v>2568</v>
      </c>
      <c r="C296" s="30" t="s">
        <v>2623</v>
      </c>
      <c r="D296" s="14" t="s">
        <v>2569</v>
      </c>
    </row>
    <row r="297" spans="1:4" ht="15" customHeight="1">
      <c r="A297" s="9"/>
      <c r="B297" s="24" t="s">
        <v>2624</v>
      </c>
      <c r="C297" s="30">
        <v>2</v>
      </c>
      <c r="D297" s="14" t="s">
        <v>1179</v>
      </c>
    </row>
    <row r="298" spans="1:4" ht="16.5" customHeight="1">
      <c r="A298" s="9"/>
      <c r="B298" s="24" t="s">
        <v>2650</v>
      </c>
      <c r="C298" s="30">
        <v>2</v>
      </c>
      <c r="D298" s="14" t="s">
        <v>2571</v>
      </c>
    </row>
    <row r="299" spans="1:4" ht="19.5" customHeight="1">
      <c r="A299" s="9"/>
      <c r="B299" s="31" t="s">
        <v>2626</v>
      </c>
      <c r="C299" s="32" t="s">
        <v>2623</v>
      </c>
      <c r="D299" s="14" t="s">
        <v>1181</v>
      </c>
    </row>
    <row r="300" spans="1:4" ht="19.5" customHeight="1">
      <c r="A300" s="9" t="s">
        <v>1270</v>
      </c>
      <c r="B300" s="33" t="s">
        <v>2630</v>
      </c>
      <c r="C300" s="34" t="s">
        <v>2608</v>
      </c>
      <c r="D300" s="14" t="s">
        <v>2151</v>
      </c>
    </row>
    <row r="301" spans="1:4" ht="19.5" customHeight="1">
      <c r="A301" s="9"/>
      <c r="B301" s="24" t="s">
        <v>2631</v>
      </c>
      <c r="C301" s="30" t="s">
        <v>2609</v>
      </c>
      <c r="D301" s="14" t="s">
        <v>2170</v>
      </c>
    </row>
    <row r="302" spans="1:4" ht="19.5" customHeight="1">
      <c r="A302" s="9"/>
      <c r="B302" s="24" t="s">
        <v>2651</v>
      </c>
      <c r="C302" s="30" t="s">
        <v>2608</v>
      </c>
      <c r="D302" s="14" t="s">
        <v>2144</v>
      </c>
    </row>
    <row r="303" spans="1:4" ht="19.5" customHeight="1">
      <c r="A303" s="9"/>
      <c r="B303" s="24" t="s">
        <v>420</v>
      </c>
      <c r="C303" s="30" t="s">
        <v>2609</v>
      </c>
      <c r="D303" s="14" t="s">
        <v>422</v>
      </c>
    </row>
    <row r="304" spans="1:4" ht="15" customHeight="1">
      <c r="A304" s="9"/>
      <c r="B304" s="24" t="s">
        <v>420</v>
      </c>
      <c r="C304" s="30" t="s">
        <v>2609</v>
      </c>
      <c r="D304" s="14" t="s">
        <v>422</v>
      </c>
    </row>
    <row r="305" spans="1:4" ht="19.5" customHeight="1">
      <c r="A305" s="9"/>
      <c r="B305" s="24" t="s">
        <v>420</v>
      </c>
      <c r="C305" s="30" t="s">
        <v>2608</v>
      </c>
      <c r="D305" s="14" t="s">
        <v>422</v>
      </c>
    </row>
    <row r="306" spans="1:4" ht="19.5" customHeight="1">
      <c r="A306" s="9"/>
      <c r="B306" s="24" t="s">
        <v>2648</v>
      </c>
      <c r="C306" s="30" t="s">
        <v>2608</v>
      </c>
      <c r="D306" s="14" t="s">
        <v>426</v>
      </c>
    </row>
    <row r="307" spans="1:4" ht="19.5" customHeight="1">
      <c r="A307" s="9"/>
      <c r="B307" s="24" t="s">
        <v>2610</v>
      </c>
      <c r="C307" s="30" t="s">
        <v>2608</v>
      </c>
      <c r="D307" s="14" t="s">
        <v>2184</v>
      </c>
    </row>
    <row r="308" spans="1:4" ht="19.5" customHeight="1">
      <c r="A308" s="9"/>
      <c r="B308" s="24" t="s">
        <v>2649</v>
      </c>
      <c r="C308" s="30" t="s">
        <v>2608</v>
      </c>
      <c r="D308" s="14" t="s">
        <v>2056</v>
      </c>
    </row>
    <row r="309" spans="1:4" ht="19.5" customHeight="1">
      <c r="A309" s="9"/>
      <c r="B309" s="24" t="s">
        <v>2613</v>
      </c>
      <c r="C309" s="30" t="s">
        <v>2608</v>
      </c>
      <c r="D309" s="14" t="s">
        <v>2614</v>
      </c>
    </row>
    <row r="310" spans="1:4" ht="19.5" customHeight="1">
      <c r="A310" s="9"/>
      <c r="B310" s="24" t="s">
        <v>2632</v>
      </c>
      <c r="C310" s="30" t="s">
        <v>2608</v>
      </c>
      <c r="D310" s="14" t="s">
        <v>2633</v>
      </c>
    </row>
    <row r="311" spans="1:4" ht="19.5" customHeight="1">
      <c r="A311" s="9"/>
      <c r="B311" s="24" t="s">
        <v>2634</v>
      </c>
      <c r="C311" s="30" t="s">
        <v>2609</v>
      </c>
      <c r="D311" s="14" t="s">
        <v>424</v>
      </c>
    </row>
    <row r="312" spans="1:4" ht="19.5" customHeight="1">
      <c r="A312" s="9"/>
      <c r="B312" s="24" t="s">
        <v>2617</v>
      </c>
      <c r="C312" s="30">
        <v>1</v>
      </c>
      <c r="D312" s="14" t="s">
        <v>2293</v>
      </c>
    </row>
    <row r="313" spans="1:4" ht="19.5" customHeight="1">
      <c r="A313" s="9"/>
      <c r="B313" s="24" t="s">
        <v>2618</v>
      </c>
      <c r="C313" s="30">
        <v>1</v>
      </c>
      <c r="D313" s="14" t="s">
        <v>2317</v>
      </c>
    </row>
    <row r="314" spans="1:4" ht="19.5" customHeight="1">
      <c r="A314" s="9"/>
      <c r="B314" s="24" t="s">
        <v>2619</v>
      </c>
      <c r="C314" s="30">
        <v>2</v>
      </c>
      <c r="D314" s="14" t="s">
        <v>2565</v>
      </c>
    </row>
    <row r="315" spans="1:4" ht="19.5" customHeight="1">
      <c r="A315" s="9"/>
      <c r="B315" s="24" t="s">
        <v>2620</v>
      </c>
      <c r="C315" s="30">
        <v>2</v>
      </c>
      <c r="D315" s="14" t="s">
        <v>547</v>
      </c>
    </row>
    <row r="316" spans="1:4" ht="19.5" customHeight="1">
      <c r="A316" s="9"/>
      <c r="B316" s="24" t="s">
        <v>2621</v>
      </c>
      <c r="C316" s="30">
        <v>4</v>
      </c>
      <c r="D316" s="14" t="s">
        <v>1107</v>
      </c>
    </row>
    <row r="317" spans="1:4" ht="15.75" customHeight="1">
      <c r="A317" s="9"/>
      <c r="B317" s="24" t="s">
        <v>2622</v>
      </c>
      <c r="C317" s="30">
        <v>1</v>
      </c>
      <c r="D317" s="14" t="s">
        <v>651</v>
      </c>
    </row>
    <row r="318" spans="1:4" ht="15" customHeight="1">
      <c r="A318" s="9"/>
      <c r="B318" s="24" t="s">
        <v>2568</v>
      </c>
      <c r="C318" s="30" t="s">
        <v>2623</v>
      </c>
      <c r="D318" s="14" t="s">
        <v>2569</v>
      </c>
    </row>
    <row r="319" spans="1:4" ht="19.5" customHeight="1">
      <c r="A319" s="9"/>
      <c r="B319" s="24" t="s">
        <v>2624</v>
      </c>
      <c r="C319" s="30">
        <v>2</v>
      </c>
      <c r="D319" s="14" t="s">
        <v>1179</v>
      </c>
    </row>
    <row r="320" spans="1:4" ht="15" customHeight="1">
      <c r="A320" s="9"/>
      <c r="B320" s="24" t="s">
        <v>2625</v>
      </c>
      <c r="C320" s="30">
        <v>2</v>
      </c>
      <c r="D320" s="14" t="s">
        <v>2571</v>
      </c>
    </row>
    <row r="321" spans="1:4" ht="15" customHeight="1">
      <c r="A321" s="9"/>
      <c r="B321" s="31" t="s">
        <v>2626</v>
      </c>
      <c r="C321" s="32" t="s">
        <v>2623</v>
      </c>
      <c r="D321" s="14" t="s">
        <v>1181</v>
      </c>
    </row>
    <row r="322" spans="1:4" ht="15" customHeight="1">
      <c r="A322" s="9" t="s">
        <v>1272</v>
      </c>
      <c r="B322" s="33" t="s">
        <v>2611</v>
      </c>
      <c r="C322" s="34" t="s">
        <v>2608</v>
      </c>
      <c r="D322" s="14" t="s">
        <v>2148</v>
      </c>
    </row>
    <row r="323" spans="1:4" ht="15" customHeight="1">
      <c r="A323" s="9"/>
      <c r="B323" s="24" t="s">
        <v>2627</v>
      </c>
      <c r="C323" s="30" t="s">
        <v>2609</v>
      </c>
      <c r="D323" s="14" t="s">
        <v>2167</v>
      </c>
    </row>
    <row r="324" spans="1:4" ht="15" customHeight="1">
      <c r="A324" s="9"/>
      <c r="B324" s="24" t="s">
        <v>2652</v>
      </c>
      <c r="C324" s="30" t="s">
        <v>2608</v>
      </c>
      <c r="D324" s="14" t="s">
        <v>2140</v>
      </c>
    </row>
    <row r="325" spans="1:4" ht="15" customHeight="1">
      <c r="A325" s="9"/>
      <c r="B325" s="24" t="s">
        <v>420</v>
      </c>
      <c r="C325" s="30" t="s">
        <v>2609</v>
      </c>
      <c r="D325" s="14" t="s">
        <v>422</v>
      </c>
    </row>
    <row r="326" spans="1:4" ht="15" customHeight="1">
      <c r="A326" s="9"/>
      <c r="B326" s="24" t="s">
        <v>420</v>
      </c>
      <c r="C326" s="30" t="s">
        <v>2608</v>
      </c>
      <c r="D326" s="14" t="s">
        <v>422</v>
      </c>
    </row>
    <row r="327" spans="1:4" ht="15" customHeight="1">
      <c r="A327" s="9"/>
      <c r="B327" s="24" t="s">
        <v>420</v>
      </c>
      <c r="C327" s="30" t="s">
        <v>2609</v>
      </c>
      <c r="D327" s="14" t="s">
        <v>422</v>
      </c>
    </row>
    <row r="328" spans="1:4" ht="15" customHeight="1">
      <c r="A328" s="9"/>
      <c r="B328" s="24" t="s">
        <v>2648</v>
      </c>
      <c r="C328" s="30" t="s">
        <v>2608</v>
      </c>
      <c r="D328" s="14" t="s">
        <v>426</v>
      </c>
    </row>
    <row r="329" spans="1:4" ht="15" customHeight="1">
      <c r="A329" s="9"/>
      <c r="B329" s="24" t="s">
        <v>2610</v>
      </c>
      <c r="C329" s="30" t="s">
        <v>2608</v>
      </c>
      <c r="D329" s="14" t="s">
        <v>2184</v>
      </c>
    </row>
    <row r="330" spans="1:4" ht="15" customHeight="1">
      <c r="A330" s="9"/>
      <c r="B330" s="24" t="s">
        <v>2649</v>
      </c>
      <c r="C330" s="30" t="s">
        <v>2608</v>
      </c>
      <c r="D330" s="14" t="s">
        <v>2056</v>
      </c>
    </row>
    <row r="331" spans="1:4" ht="15" customHeight="1">
      <c r="A331" s="9"/>
      <c r="B331" s="24" t="s">
        <v>2613</v>
      </c>
      <c r="C331" s="30" t="s">
        <v>2608</v>
      </c>
      <c r="D331" s="14" t="s">
        <v>2614</v>
      </c>
    </row>
    <row r="332" spans="1:4" ht="15" customHeight="1">
      <c r="A332" s="9"/>
      <c r="B332" s="24" t="s">
        <v>2636</v>
      </c>
      <c r="C332" s="30" t="s">
        <v>2608</v>
      </c>
      <c r="D332" s="14" t="s">
        <v>2174</v>
      </c>
    </row>
    <row r="333" spans="1:4" ht="15" customHeight="1">
      <c r="A333" s="9"/>
      <c r="B333" s="24" t="s">
        <v>2646</v>
      </c>
      <c r="C333" s="30" t="s">
        <v>2609</v>
      </c>
      <c r="D333" s="14" t="s">
        <v>424</v>
      </c>
    </row>
    <row r="334" spans="1:4" ht="15" customHeight="1">
      <c r="A334" s="9"/>
      <c r="B334" s="24" t="s">
        <v>2617</v>
      </c>
      <c r="C334" s="30">
        <v>1</v>
      </c>
      <c r="D334" s="14" t="s">
        <v>2293</v>
      </c>
    </row>
    <row r="335" spans="1:4" ht="15" customHeight="1">
      <c r="A335" s="9"/>
      <c r="B335" s="24" t="s">
        <v>2618</v>
      </c>
      <c r="C335" s="30">
        <v>1</v>
      </c>
      <c r="D335" s="14" t="s">
        <v>2317</v>
      </c>
    </row>
    <row r="336" spans="1:4" ht="15" customHeight="1">
      <c r="A336" s="9"/>
      <c r="B336" s="24" t="s">
        <v>2619</v>
      </c>
      <c r="C336" s="30">
        <v>2</v>
      </c>
      <c r="D336" s="14" t="s">
        <v>2565</v>
      </c>
    </row>
    <row r="337" spans="1:4" ht="15" customHeight="1">
      <c r="A337" s="9"/>
      <c r="B337" s="24" t="s">
        <v>2620</v>
      </c>
      <c r="C337" s="30">
        <v>2</v>
      </c>
      <c r="D337" s="14" t="s">
        <v>547</v>
      </c>
    </row>
    <row r="338" spans="1:4" ht="15" customHeight="1">
      <c r="A338" s="9"/>
      <c r="B338" s="24" t="s">
        <v>2621</v>
      </c>
      <c r="C338" s="30">
        <v>4</v>
      </c>
      <c r="D338" s="14" t="s">
        <v>1107</v>
      </c>
    </row>
    <row r="339" spans="1:4" ht="15" customHeight="1">
      <c r="A339" s="9"/>
      <c r="B339" s="24" t="s">
        <v>2622</v>
      </c>
      <c r="C339" s="30">
        <v>1</v>
      </c>
      <c r="D339" s="14" t="s">
        <v>651</v>
      </c>
    </row>
    <row r="340" spans="1:4" ht="15" customHeight="1">
      <c r="A340" s="9"/>
      <c r="B340" s="24" t="s">
        <v>2568</v>
      </c>
      <c r="C340" s="30" t="s">
        <v>2623</v>
      </c>
      <c r="D340" s="14" t="s">
        <v>2569</v>
      </c>
    </row>
    <row r="341" spans="1:4" ht="14.25" customHeight="1">
      <c r="A341" s="9"/>
      <c r="B341" s="24" t="s">
        <v>2624</v>
      </c>
      <c r="C341" s="30">
        <v>2</v>
      </c>
      <c r="D341" s="14" t="s">
        <v>1179</v>
      </c>
    </row>
    <row r="342" spans="1:4" ht="15" customHeight="1">
      <c r="A342" s="9"/>
      <c r="B342" s="24" t="s">
        <v>2625</v>
      </c>
      <c r="C342" s="30">
        <v>2</v>
      </c>
      <c r="D342" s="14" t="s">
        <v>2571</v>
      </c>
    </row>
    <row r="343" spans="1:4" ht="19.5" customHeight="1">
      <c r="A343" s="9"/>
      <c r="B343" s="31" t="s">
        <v>2626</v>
      </c>
      <c r="C343" s="32" t="s">
        <v>2623</v>
      </c>
      <c r="D343" s="14" t="s">
        <v>1181</v>
      </c>
    </row>
    <row r="344" spans="1:4" ht="19.5" customHeight="1">
      <c r="A344" s="35"/>
      <c r="B344" s="24"/>
      <c r="C344" s="30"/>
      <c r="D344" s="14"/>
    </row>
    <row r="345" spans="1:4" ht="19.5" customHeight="1">
      <c r="A345" s="9" t="s">
        <v>1274</v>
      </c>
      <c r="B345" s="33" t="s">
        <v>2630</v>
      </c>
      <c r="C345" s="34" t="s">
        <v>2608</v>
      </c>
      <c r="D345" s="14" t="s">
        <v>2151</v>
      </c>
    </row>
    <row r="346" spans="1:4" ht="19.5" customHeight="1">
      <c r="A346" s="9"/>
      <c r="B346" s="24" t="s">
        <v>2631</v>
      </c>
      <c r="C346" s="30" t="s">
        <v>2609</v>
      </c>
      <c r="D346" s="14" t="s">
        <v>2170</v>
      </c>
    </row>
    <row r="347" spans="1:4" ht="19.5" customHeight="1">
      <c r="A347" s="9"/>
      <c r="B347" s="24" t="s">
        <v>2652</v>
      </c>
      <c r="C347" s="30" t="s">
        <v>2608</v>
      </c>
      <c r="D347" s="14" t="s">
        <v>2140</v>
      </c>
    </row>
    <row r="348" spans="1:4" ht="19.5" customHeight="1">
      <c r="A348" s="9"/>
      <c r="B348" s="24" t="s">
        <v>420</v>
      </c>
      <c r="C348" s="30" t="s">
        <v>2609</v>
      </c>
      <c r="D348" s="14" t="s">
        <v>422</v>
      </c>
    </row>
    <row r="349" spans="1:4" ht="19.5" customHeight="1">
      <c r="A349" s="9"/>
      <c r="B349" s="24" t="s">
        <v>420</v>
      </c>
      <c r="C349" s="30" t="s">
        <v>2608</v>
      </c>
      <c r="D349" s="14" t="s">
        <v>422</v>
      </c>
    </row>
    <row r="350" spans="1:4" ht="15" customHeight="1">
      <c r="A350" s="9"/>
      <c r="B350" s="24" t="s">
        <v>420</v>
      </c>
      <c r="C350" s="30" t="s">
        <v>2609</v>
      </c>
      <c r="D350" s="14" t="s">
        <v>422</v>
      </c>
    </row>
    <row r="351" spans="1:4" ht="19.5" customHeight="1">
      <c r="A351" s="9"/>
      <c r="B351" s="24" t="s">
        <v>2653</v>
      </c>
      <c r="C351" s="30" t="s">
        <v>2608</v>
      </c>
      <c r="D351" s="14" t="s">
        <v>428</v>
      </c>
    </row>
    <row r="352" spans="1:4" ht="19.5" customHeight="1">
      <c r="A352" s="9"/>
      <c r="B352" s="24" t="s">
        <v>2610</v>
      </c>
      <c r="C352" s="30" t="s">
        <v>2608</v>
      </c>
      <c r="D352" s="14" t="s">
        <v>2184</v>
      </c>
    </row>
    <row r="353" spans="1:4" ht="19.5" customHeight="1">
      <c r="A353" s="9"/>
      <c r="B353" s="24" t="s">
        <v>2649</v>
      </c>
      <c r="C353" s="30" t="s">
        <v>2608</v>
      </c>
      <c r="D353" s="14" t="s">
        <v>2056</v>
      </c>
    </row>
    <row r="354" spans="1:4" ht="19.5" customHeight="1">
      <c r="A354" s="9"/>
      <c r="B354" s="24" t="s">
        <v>2613</v>
      </c>
      <c r="C354" s="30" t="s">
        <v>2608</v>
      </c>
      <c r="D354" s="14" t="s">
        <v>2614</v>
      </c>
    </row>
    <row r="355" spans="1:4" ht="19.5" customHeight="1">
      <c r="A355" s="9"/>
      <c r="B355" s="24" t="s">
        <v>2632</v>
      </c>
      <c r="C355" s="30" t="s">
        <v>2608</v>
      </c>
      <c r="D355" s="14" t="s">
        <v>2633</v>
      </c>
    </row>
    <row r="356" spans="1:4" ht="19.5" customHeight="1">
      <c r="A356" s="9"/>
      <c r="B356" s="24" t="s">
        <v>2634</v>
      </c>
      <c r="C356" s="30" t="s">
        <v>2609</v>
      </c>
      <c r="D356" s="14" t="s">
        <v>424</v>
      </c>
    </row>
    <row r="357" spans="1:4" ht="19.5" customHeight="1">
      <c r="A357" s="9"/>
      <c r="B357" s="24" t="s">
        <v>2617</v>
      </c>
      <c r="C357" s="30">
        <v>1</v>
      </c>
      <c r="D357" s="14" t="s">
        <v>2293</v>
      </c>
    </row>
    <row r="358" spans="1:4" ht="19.5" customHeight="1">
      <c r="A358" s="9"/>
      <c r="B358" s="24" t="s">
        <v>2618</v>
      </c>
      <c r="C358" s="30">
        <v>1</v>
      </c>
      <c r="D358" s="14" t="s">
        <v>2317</v>
      </c>
    </row>
    <row r="359" spans="1:4" ht="19.5" customHeight="1">
      <c r="A359" s="9"/>
      <c r="B359" s="24" t="s">
        <v>2619</v>
      </c>
      <c r="C359" s="30">
        <v>2</v>
      </c>
      <c r="D359" s="14" t="s">
        <v>2565</v>
      </c>
    </row>
    <row r="360" spans="1:4" ht="19.5" customHeight="1">
      <c r="A360" s="9"/>
      <c r="B360" s="24" t="s">
        <v>2620</v>
      </c>
      <c r="C360" s="30">
        <v>2</v>
      </c>
      <c r="D360" s="14" t="s">
        <v>547</v>
      </c>
    </row>
    <row r="361" spans="1:4" ht="19.5" customHeight="1">
      <c r="A361" s="9"/>
      <c r="B361" s="24" t="s">
        <v>2621</v>
      </c>
      <c r="C361" s="30">
        <v>4</v>
      </c>
      <c r="D361" s="14" t="s">
        <v>1107</v>
      </c>
    </row>
    <row r="362" spans="1:4" ht="19.5" customHeight="1">
      <c r="A362" s="9"/>
      <c r="B362" s="24" t="s">
        <v>2622</v>
      </c>
      <c r="C362" s="30">
        <v>1</v>
      </c>
      <c r="D362" s="14" t="s">
        <v>651</v>
      </c>
    </row>
    <row r="363" spans="1:4" ht="19.5" customHeight="1">
      <c r="A363" s="9"/>
      <c r="B363" s="24" t="s">
        <v>2568</v>
      </c>
      <c r="C363" s="30" t="s">
        <v>2623</v>
      </c>
      <c r="D363" s="14" t="s">
        <v>2569</v>
      </c>
    </row>
    <row r="364" spans="1:4" ht="19.5" customHeight="1">
      <c r="A364" s="9"/>
      <c r="B364" s="24" t="s">
        <v>2624</v>
      </c>
      <c r="C364" s="30">
        <v>2</v>
      </c>
      <c r="D364" s="14" t="s">
        <v>1179</v>
      </c>
    </row>
    <row r="365" spans="1:4" ht="19.5" customHeight="1">
      <c r="A365" s="9"/>
      <c r="B365" s="24" t="s">
        <v>2625</v>
      </c>
      <c r="C365" s="30">
        <v>2</v>
      </c>
      <c r="D365" s="14" t="s">
        <v>2571</v>
      </c>
    </row>
    <row r="366" spans="1:4" ht="19.5" customHeight="1">
      <c r="A366" s="9"/>
      <c r="B366" s="31" t="s">
        <v>2626</v>
      </c>
      <c r="C366" s="32" t="s">
        <v>2623</v>
      </c>
      <c r="D366" s="14" t="s">
        <v>1181</v>
      </c>
    </row>
    <row r="367" spans="1:4" ht="19.5" customHeight="1">
      <c r="A367" s="8" t="s">
        <v>1276</v>
      </c>
      <c r="B367" s="33" t="s">
        <v>2611</v>
      </c>
      <c r="C367" s="34" t="s">
        <v>2608</v>
      </c>
      <c r="D367" s="14" t="s">
        <v>2148</v>
      </c>
    </row>
    <row r="368" spans="1:4" ht="19.5" customHeight="1">
      <c r="A368" s="8"/>
      <c r="B368" s="24" t="s">
        <v>2654</v>
      </c>
      <c r="C368" s="30" t="s">
        <v>2609</v>
      </c>
      <c r="D368" s="14" t="s">
        <v>2167</v>
      </c>
    </row>
    <row r="369" spans="1:4" ht="19.5" customHeight="1">
      <c r="A369" s="8"/>
      <c r="B369" s="24" t="s">
        <v>2655</v>
      </c>
      <c r="C369" s="30" t="s">
        <v>2608</v>
      </c>
      <c r="D369" s="14" t="s">
        <v>2134</v>
      </c>
    </row>
    <row r="370" spans="1:4" ht="19.5" customHeight="1">
      <c r="A370" s="8"/>
      <c r="B370" s="24" t="s">
        <v>420</v>
      </c>
      <c r="C370" s="30" t="s">
        <v>2609</v>
      </c>
      <c r="D370" s="14" t="s">
        <v>422</v>
      </c>
    </row>
    <row r="371" spans="1:4" ht="19.5" customHeight="1">
      <c r="A371" s="8"/>
      <c r="B371" s="24" t="s">
        <v>420</v>
      </c>
      <c r="C371" s="30" t="s">
        <v>2608</v>
      </c>
      <c r="D371" s="14" t="s">
        <v>422</v>
      </c>
    </row>
    <row r="372" spans="1:4" ht="19.5" customHeight="1">
      <c r="A372" s="8"/>
      <c r="B372" s="24" t="s">
        <v>2610</v>
      </c>
      <c r="C372" s="30" t="s">
        <v>2608</v>
      </c>
      <c r="D372" s="14" t="s">
        <v>2184</v>
      </c>
    </row>
    <row r="373" spans="1:4" ht="19.5" customHeight="1">
      <c r="A373" s="8"/>
      <c r="B373" s="24" t="s">
        <v>2613</v>
      </c>
      <c r="C373" s="30" t="s">
        <v>2608</v>
      </c>
      <c r="D373" s="14" t="s">
        <v>2614</v>
      </c>
    </row>
    <row r="374" spans="1:4" ht="19.5" customHeight="1">
      <c r="A374" s="8"/>
      <c r="B374" s="24" t="s">
        <v>2617</v>
      </c>
      <c r="C374" s="30">
        <v>1</v>
      </c>
      <c r="D374" s="14" t="s">
        <v>2293</v>
      </c>
    </row>
    <row r="375" spans="1:4" ht="19.5" customHeight="1">
      <c r="A375" s="8"/>
      <c r="B375" s="24" t="s">
        <v>2618</v>
      </c>
      <c r="C375" s="30">
        <v>1</v>
      </c>
      <c r="D375" s="14" t="s">
        <v>2317</v>
      </c>
    </row>
    <row r="376" spans="1:4" ht="19.5" customHeight="1">
      <c r="A376" s="8"/>
      <c r="B376" s="24" t="s">
        <v>2619</v>
      </c>
      <c r="C376" s="30">
        <v>4</v>
      </c>
      <c r="D376" s="14" t="s">
        <v>2565</v>
      </c>
    </row>
    <row r="377" spans="1:4" ht="19.5" customHeight="1">
      <c r="A377" s="8"/>
      <c r="B377" s="24" t="s">
        <v>2620</v>
      </c>
      <c r="C377" s="30">
        <v>2</v>
      </c>
      <c r="D377" s="14" t="s">
        <v>547</v>
      </c>
    </row>
    <row r="378" spans="1:4" ht="19.5" customHeight="1">
      <c r="A378" s="8"/>
      <c r="B378" s="24" t="s">
        <v>2621</v>
      </c>
      <c r="C378" s="30">
        <v>4</v>
      </c>
      <c r="D378" s="14" t="s">
        <v>1107</v>
      </c>
    </row>
    <row r="379" spans="1:4" ht="19.5" customHeight="1">
      <c r="A379" s="8"/>
      <c r="B379" s="24" t="s">
        <v>2622</v>
      </c>
      <c r="C379" s="36" t="s">
        <v>2656</v>
      </c>
      <c r="D379" s="14" t="s">
        <v>651</v>
      </c>
    </row>
    <row r="380" spans="1:4" ht="19.5" customHeight="1">
      <c r="A380" s="8"/>
      <c r="B380" s="24" t="s">
        <v>2568</v>
      </c>
      <c r="C380" s="30" t="s">
        <v>2623</v>
      </c>
      <c r="D380" s="14" t="s">
        <v>2569</v>
      </c>
    </row>
    <row r="381" spans="1:4" ht="19.5" customHeight="1">
      <c r="A381" s="35"/>
      <c r="B381" s="24"/>
      <c r="C381" s="36"/>
      <c r="D381" s="14"/>
    </row>
    <row r="382" spans="1:4" ht="19.5" customHeight="1">
      <c r="A382" s="35"/>
      <c r="B382" s="24"/>
      <c r="C382" s="36"/>
      <c r="D382" s="14"/>
    </row>
    <row r="383" spans="1:4" ht="19.5" customHeight="1">
      <c r="A383" s="35"/>
      <c r="B383" s="24"/>
      <c r="C383" s="36"/>
      <c r="D383" s="14"/>
    </row>
    <row r="384" spans="1:4" ht="19.5" customHeight="1">
      <c r="A384" s="8" t="s">
        <v>1278</v>
      </c>
      <c r="B384" s="33" t="s">
        <v>2630</v>
      </c>
      <c r="C384" s="34" t="s">
        <v>2608</v>
      </c>
      <c r="D384" s="14" t="s">
        <v>2151</v>
      </c>
    </row>
    <row r="385" spans="1:4" ht="19.5" customHeight="1">
      <c r="A385" s="8"/>
      <c r="B385" s="24" t="s">
        <v>2631</v>
      </c>
      <c r="C385" s="30" t="s">
        <v>2609</v>
      </c>
      <c r="D385" s="14" t="s">
        <v>2170</v>
      </c>
    </row>
    <row r="386" spans="1:4" ht="19.5" customHeight="1">
      <c r="A386" s="8"/>
      <c r="B386" s="24" t="s">
        <v>2655</v>
      </c>
      <c r="C386" s="30" t="s">
        <v>2608</v>
      </c>
      <c r="D386" s="14" t="s">
        <v>2134</v>
      </c>
    </row>
    <row r="387" spans="1:4" ht="19.5" customHeight="1">
      <c r="A387" s="8"/>
      <c r="B387" s="24" t="s">
        <v>420</v>
      </c>
      <c r="C387" s="30" t="s">
        <v>2609</v>
      </c>
      <c r="D387" s="14" t="s">
        <v>422</v>
      </c>
    </row>
    <row r="388" spans="1:4" ht="19.5" customHeight="1">
      <c r="A388" s="8"/>
      <c r="B388" s="24" t="s">
        <v>420</v>
      </c>
      <c r="C388" s="30" t="s">
        <v>2608</v>
      </c>
      <c r="D388" s="14" t="s">
        <v>422</v>
      </c>
    </row>
    <row r="389" spans="1:4" ht="19.5" customHeight="1">
      <c r="A389" s="8"/>
      <c r="B389" s="24" t="s">
        <v>2610</v>
      </c>
      <c r="C389" s="30" t="s">
        <v>2608</v>
      </c>
      <c r="D389" s="14" t="s">
        <v>2184</v>
      </c>
    </row>
    <row r="390" spans="1:4" ht="19.5" customHeight="1">
      <c r="A390" s="8"/>
      <c r="B390" s="24" t="s">
        <v>2613</v>
      </c>
      <c r="C390" s="30" t="s">
        <v>2608</v>
      </c>
      <c r="D390" s="14" t="s">
        <v>2614</v>
      </c>
    </row>
    <row r="391" spans="1:4" ht="19.5" customHeight="1">
      <c r="A391" s="8"/>
      <c r="B391" s="24" t="s">
        <v>2617</v>
      </c>
      <c r="C391" s="36">
        <v>1</v>
      </c>
      <c r="D391" s="14" t="s">
        <v>2293</v>
      </c>
    </row>
    <row r="392" spans="1:4" ht="19.5" customHeight="1">
      <c r="A392" s="8"/>
      <c r="B392" s="24" t="s">
        <v>2618</v>
      </c>
      <c r="C392" s="36">
        <v>1</v>
      </c>
      <c r="D392" s="14" t="s">
        <v>2317</v>
      </c>
    </row>
    <row r="393" spans="1:4" ht="19.5" customHeight="1">
      <c r="A393" s="8"/>
      <c r="B393" s="24" t="s">
        <v>2619</v>
      </c>
      <c r="C393" s="36">
        <v>4</v>
      </c>
      <c r="D393" s="14" t="s">
        <v>2565</v>
      </c>
    </row>
    <row r="394" spans="1:4" ht="19.5" customHeight="1">
      <c r="A394" s="8"/>
      <c r="B394" s="24" t="s">
        <v>2620</v>
      </c>
      <c r="C394" s="36">
        <v>2</v>
      </c>
      <c r="D394" s="14" t="s">
        <v>547</v>
      </c>
    </row>
    <row r="395" spans="1:4" ht="19.5" customHeight="1">
      <c r="A395" s="8"/>
      <c r="B395" s="24" t="s">
        <v>2621</v>
      </c>
      <c r="C395" s="36">
        <v>4</v>
      </c>
      <c r="D395" s="14" t="s">
        <v>1107</v>
      </c>
    </row>
    <row r="396" spans="1:4" ht="19.5" customHeight="1">
      <c r="A396" s="8"/>
      <c r="B396" s="24" t="s">
        <v>2622</v>
      </c>
      <c r="C396" s="36" t="s">
        <v>2656</v>
      </c>
      <c r="D396" s="14" t="s">
        <v>651</v>
      </c>
    </row>
    <row r="397" spans="1:4" ht="19.5" customHeight="1">
      <c r="A397" s="8"/>
      <c r="B397" s="24" t="s">
        <v>2568</v>
      </c>
      <c r="C397" s="30" t="s">
        <v>2623</v>
      </c>
      <c r="D397" s="14" t="s">
        <v>2569</v>
      </c>
    </row>
    <row r="398" spans="1:4" ht="19.5" customHeight="1">
      <c r="A398" s="8" t="s">
        <v>1280</v>
      </c>
      <c r="B398" s="33" t="s">
        <v>2611</v>
      </c>
      <c r="C398" s="34" t="s">
        <v>2608</v>
      </c>
      <c r="D398" s="14" t="s">
        <v>2148</v>
      </c>
    </row>
    <row r="399" spans="1:4" ht="19.5" customHeight="1">
      <c r="A399" s="8"/>
      <c r="B399" s="24" t="s">
        <v>2627</v>
      </c>
      <c r="C399" s="30" t="s">
        <v>2609</v>
      </c>
      <c r="D399" s="14" t="s">
        <v>2167</v>
      </c>
    </row>
    <row r="400" spans="1:4" ht="19.5" customHeight="1">
      <c r="A400" s="8"/>
      <c r="B400" s="24" t="s">
        <v>2657</v>
      </c>
      <c r="C400" s="30" t="s">
        <v>2608</v>
      </c>
      <c r="D400" s="14" t="s">
        <v>2134</v>
      </c>
    </row>
    <row r="401" spans="1:4" ht="19.5" customHeight="1">
      <c r="A401" s="8"/>
      <c r="B401" s="24" t="s">
        <v>420</v>
      </c>
      <c r="C401" s="30" t="s">
        <v>2609</v>
      </c>
      <c r="D401" s="14" t="s">
        <v>422</v>
      </c>
    </row>
    <row r="402" spans="1:4" ht="19.5" customHeight="1">
      <c r="A402" s="8"/>
      <c r="B402" s="24" t="s">
        <v>420</v>
      </c>
      <c r="C402" s="30" t="s">
        <v>2608</v>
      </c>
      <c r="D402" s="14" t="s">
        <v>422</v>
      </c>
    </row>
    <row r="403" spans="1:4" ht="19.5" customHeight="1">
      <c r="A403" s="8"/>
      <c r="B403" s="24" t="s">
        <v>2658</v>
      </c>
      <c r="C403" s="30" t="s">
        <v>2608</v>
      </c>
      <c r="D403" s="14" t="s">
        <v>404</v>
      </c>
    </row>
    <row r="404" spans="1:4" ht="17.25" customHeight="1">
      <c r="A404" s="8"/>
      <c r="B404" s="24" t="s">
        <v>2610</v>
      </c>
      <c r="C404" s="30" t="s">
        <v>2608</v>
      </c>
      <c r="D404" s="14" t="s">
        <v>2184</v>
      </c>
    </row>
    <row r="405" spans="1:4" ht="18" customHeight="1">
      <c r="A405" s="8"/>
      <c r="B405" s="24" t="s">
        <v>2613</v>
      </c>
      <c r="C405" s="30" t="s">
        <v>2608</v>
      </c>
      <c r="D405" s="14" t="s">
        <v>2614</v>
      </c>
    </row>
    <row r="406" spans="1:4" ht="15.75" customHeight="1">
      <c r="A406" s="8"/>
      <c r="B406" s="24" t="s">
        <v>2617</v>
      </c>
      <c r="C406" s="36">
        <v>1</v>
      </c>
      <c r="D406" s="14" t="s">
        <v>2293</v>
      </c>
    </row>
    <row r="407" spans="1:4" ht="15.75" customHeight="1">
      <c r="A407" s="8"/>
      <c r="B407" s="24" t="s">
        <v>2618</v>
      </c>
      <c r="C407" s="36">
        <v>1</v>
      </c>
      <c r="D407" s="14" t="s">
        <v>2317</v>
      </c>
    </row>
    <row r="408" spans="1:4" ht="15.75" customHeight="1">
      <c r="A408" s="8"/>
      <c r="B408" s="24" t="s">
        <v>2619</v>
      </c>
      <c r="C408" s="36">
        <v>4</v>
      </c>
      <c r="D408" s="14" t="s">
        <v>2565</v>
      </c>
    </row>
    <row r="409" spans="1:4" ht="15.75" customHeight="1">
      <c r="A409" s="8"/>
      <c r="B409" s="24" t="s">
        <v>2620</v>
      </c>
      <c r="C409" s="36">
        <v>2</v>
      </c>
      <c r="D409" s="14" t="s">
        <v>547</v>
      </c>
    </row>
    <row r="410" spans="1:4" ht="17.25" customHeight="1">
      <c r="A410" s="8"/>
      <c r="B410" s="24" t="s">
        <v>2621</v>
      </c>
      <c r="C410" s="36">
        <v>4</v>
      </c>
      <c r="D410" s="14" t="s">
        <v>1107</v>
      </c>
    </row>
    <row r="411" spans="1:4" ht="13.5" customHeight="1">
      <c r="A411" s="8"/>
      <c r="B411" s="24" t="s">
        <v>2622</v>
      </c>
      <c r="C411" s="36" t="s">
        <v>2656</v>
      </c>
      <c r="D411" s="14" t="s">
        <v>651</v>
      </c>
    </row>
    <row r="412" spans="1:4" ht="15" customHeight="1">
      <c r="A412" s="8"/>
      <c r="B412" s="24" t="s">
        <v>2568</v>
      </c>
      <c r="C412" s="30" t="s">
        <v>2623</v>
      </c>
      <c r="D412" s="14" t="s">
        <v>2569</v>
      </c>
    </row>
    <row r="413" spans="1:4" ht="15" customHeight="1">
      <c r="A413" s="8" t="s">
        <v>1282</v>
      </c>
      <c r="B413" s="33" t="s">
        <v>2630</v>
      </c>
      <c r="C413" s="34" t="s">
        <v>2608</v>
      </c>
      <c r="D413" s="14" t="s">
        <v>2151</v>
      </c>
    </row>
    <row r="414" spans="1:4" ht="15" customHeight="1">
      <c r="A414" s="8"/>
      <c r="B414" s="24" t="s">
        <v>2631</v>
      </c>
      <c r="C414" s="30" t="s">
        <v>2609</v>
      </c>
      <c r="D414" s="14" t="s">
        <v>2170</v>
      </c>
    </row>
    <row r="415" spans="1:4" ht="15" customHeight="1">
      <c r="A415" s="8"/>
      <c r="B415" s="24" t="s">
        <v>2657</v>
      </c>
      <c r="C415" s="30" t="s">
        <v>2608</v>
      </c>
      <c r="D415" s="14" t="s">
        <v>2134</v>
      </c>
    </row>
    <row r="416" spans="1:4" ht="15" customHeight="1">
      <c r="A416" s="8"/>
      <c r="B416" s="24" t="s">
        <v>420</v>
      </c>
      <c r="C416" s="30" t="s">
        <v>2609</v>
      </c>
      <c r="D416" s="14" t="s">
        <v>422</v>
      </c>
    </row>
    <row r="417" spans="1:4" ht="15" customHeight="1">
      <c r="A417" s="8"/>
      <c r="B417" s="24" t="s">
        <v>2658</v>
      </c>
      <c r="C417" s="30" t="s">
        <v>2608</v>
      </c>
      <c r="D417" s="14" t="s">
        <v>404</v>
      </c>
    </row>
    <row r="418" spans="1:4" ht="15" customHeight="1">
      <c r="A418" s="8"/>
      <c r="B418" s="24" t="s">
        <v>420</v>
      </c>
      <c r="C418" s="30" t="s">
        <v>2608</v>
      </c>
      <c r="D418" s="14" t="s">
        <v>422</v>
      </c>
    </row>
    <row r="419" spans="1:4" ht="15" customHeight="1">
      <c r="A419" s="8"/>
      <c r="B419" s="24" t="s">
        <v>2610</v>
      </c>
      <c r="C419" s="30" t="s">
        <v>2608</v>
      </c>
      <c r="D419" s="14" t="s">
        <v>2184</v>
      </c>
    </row>
    <row r="420" spans="1:4" ht="15" customHeight="1">
      <c r="A420" s="8"/>
      <c r="B420" s="24" t="s">
        <v>2613</v>
      </c>
      <c r="C420" s="30" t="s">
        <v>2608</v>
      </c>
      <c r="D420" s="14" t="s">
        <v>2614</v>
      </c>
    </row>
    <row r="421" spans="1:4" ht="15" customHeight="1">
      <c r="A421" s="8"/>
      <c r="B421" s="24" t="s">
        <v>2617</v>
      </c>
      <c r="C421" s="36">
        <v>1</v>
      </c>
      <c r="D421" s="14" t="s">
        <v>2293</v>
      </c>
    </row>
    <row r="422" spans="1:4" ht="15" customHeight="1">
      <c r="A422" s="8"/>
      <c r="B422" s="24" t="s">
        <v>2618</v>
      </c>
      <c r="C422" s="36">
        <v>1</v>
      </c>
      <c r="D422" s="14" t="s">
        <v>2317</v>
      </c>
    </row>
    <row r="423" spans="1:4" ht="15" customHeight="1">
      <c r="A423" s="8"/>
      <c r="B423" s="24" t="s">
        <v>2619</v>
      </c>
      <c r="C423" s="36">
        <v>4</v>
      </c>
      <c r="D423" s="14" t="s">
        <v>2565</v>
      </c>
    </row>
    <row r="424" spans="1:4" ht="15" customHeight="1">
      <c r="A424" s="8"/>
      <c r="B424" s="24" t="s">
        <v>2620</v>
      </c>
      <c r="C424" s="36">
        <v>2</v>
      </c>
      <c r="D424" s="14" t="s">
        <v>547</v>
      </c>
    </row>
    <row r="425" spans="1:4" ht="15" customHeight="1">
      <c r="A425" s="8"/>
      <c r="B425" s="24" t="s">
        <v>2621</v>
      </c>
      <c r="C425" s="36">
        <v>4</v>
      </c>
      <c r="D425" s="14" t="s">
        <v>1107</v>
      </c>
    </row>
    <row r="426" spans="1:4" ht="17.25" customHeight="1">
      <c r="A426" s="8"/>
      <c r="B426" s="24" t="s">
        <v>2622</v>
      </c>
      <c r="C426" s="36" t="s">
        <v>2656</v>
      </c>
      <c r="D426" s="14" t="s">
        <v>651</v>
      </c>
    </row>
    <row r="427" spans="1:4" ht="19.5" customHeight="1">
      <c r="A427" s="8"/>
      <c r="B427" s="24" t="s">
        <v>2568</v>
      </c>
      <c r="C427" s="30" t="s">
        <v>2623</v>
      </c>
      <c r="D427" s="14" t="s">
        <v>2569</v>
      </c>
    </row>
    <row r="428" spans="1:4" ht="19.5" customHeight="1">
      <c r="A428" s="9" t="s">
        <v>1284</v>
      </c>
      <c r="B428" s="33" t="s">
        <v>2611</v>
      </c>
      <c r="C428" s="34" t="s">
        <v>2608</v>
      </c>
      <c r="D428" s="14" t="s">
        <v>2148</v>
      </c>
    </row>
    <row r="429" spans="1:4" ht="19.5" customHeight="1">
      <c r="A429" s="9"/>
      <c r="B429" s="24" t="s">
        <v>2627</v>
      </c>
      <c r="C429" s="30" t="s">
        <v>2609</v>
      </c>
      <c r="D429" s="14" t="s">
        <v>2167</v>
      </c>
    </row>
    <row r="430" spans="1:4" ht="19.5" customHeight="1">
      <c r="A430" s="9"/>
      <c r="B430" s="24" t="s">
        <v>2657</v>
      </c>
      <c r="C430" s="30" t="s">
        <v>2608</v>
      </c>
      <c r="D430" s="14" t="s">
        <v>2134</v>
      </c>
    </row>
    <row r="431" spans="1:4" ht="19.5" customHeight="1">
      <c r="A431" s="9"/>
      <c r="B431" s="24" t="s">
        <v>420</v>
      </c>
      <c r="C431" s="30" t="s">
        <v>2609</v>
      </c>
      <c r="D431" s="14" t="s">
        <v>422</v>
      </c>
    </row>
    <row r="432" spans="1:4" ht="19.5" customHeight="1">
      <c r="A432" s="9"/>
      <c r="B432" s="24" t="s">
        <v>420</v>
      </c>
      <c r="C432" s="30" t="s">
        <v>2608</v>
      </c>
      <c r="D432" s="14" t="s">
        <v>422</v>
      </c>
    </row>
    <row r="433" spans="1:4" ht="19.5" customHeight="1">
      <c r="A433" s="9"/>
      <c r="B433" s="24" t="s">
        <v>2610</v>
      </c>
      <c r="C433" s="30" t="s">
        <v>2608</v>
      </c>
      <c r="D433" s="14" t="s">
        <v>2184</v>
      </c>
    </row>
    <row r="434" spans="1:4" ht="19.5" customHeight="1">
      <c r="A434" s="9"/>
      <c r="B434" s="24" t="s">
        <v>2659</v>
      </c>
      <c r="C434" s="30" t="s">
        <v>2608</v>
      </c>
      <c r="D434" s="14" t="s">
        <v>2188</v>
      </c>
    </row>
    <row r="435" spans="1:4" ht="19.5" customHeight="1">
      <c r="A435" s="9"/>
      <c r="B435" s="24" t="s">
        <v>2613</v>
      </c>
      <c r="C435" s="30" t="s">
        <v>2608</v>
      </c>
      <c r="D435" s="14" t="s">
        <v>2614</v>
      </c>
    </row>
    <row r="436" spans="1:4" ht="19.5" customHeight="1">
      <c r="A436" s="9"/>
      <c r="B436" s="24" t="s">
        <v>2660</v>
      </c>
      <c r="C436" s="30" t="s">
        <v>2608</v>
      </c>
      <c r="D436" s="14" t="s">
        <v>2174</v>
      </c>
    </row>
    <row r="437" spans="1:4" ht="19.5" customHeight="1">
      <c r="A437" s="9"/>
      <c r="B437" s="24" t="s">
        <v>2646</v>
      </c>
      <c r="C437" s="30" t="s">
        <v>2609</v>
      </c>
      <c r="D437" s="14" t="s">
        <v>424</v>
      </c>
    </row>
    <row r="438" spans="1:4" ht="19.5" customHeight="1">
      <c r="A438" s="9"/>
      <c r="B438" s="24" t="s">
        <v>2617</v>
      </c>
      <c r="C438" s="36">
        <v>1</v>
      </c>
      <c r="D438" s="14" t="s">
        <v>2293</v>
      </c>
    </row>
    <row r="439" spans="1:4" ht="19.5" customHeight="1">
      <c r="A439" s="9"/>
      <c r="B439" s="24" t="s">
        <v>2618</v>
      </c>
      <c r="C439" s="36">
        <v>1</v>
      </c>
      <c r="D439" s="14" t="s">
        <v>2317</v>
      </c>
    </row>
    <row r="440" spans="1:4" ht="19.5" customHeight="1">
      <c r="A440" s="9"/>
      <c r="B440" s="24" t="s">
        <v>2619</v>
      </c>
      <c r="C440" s="36">
        <v>4</v>
      </c>
      <c r="D440" s="14" t="s">
        <v>2565</v>
      </c>
    </row>
    <row r="441" spans="1:4" ht="19.5" customHeight="1">
      <c r="A441" s="9"/>
      <c r="B441" s="24" t="s">
        <v>2620</v>
      </c>
      <c r="C441" s="36">
        <v>2</v>
      </c>
      <c r="D441" s="14" t="s">
        <v>547</v>
      </c>
    </row>
    <row r="442" spans="1:4" ht="19.5" customHeight="1">
      <c r="A442" s="9"/>
      <c r="B442" s="24" t="s">
        <v>2621</v>
      </c>
      <c r="C442" s="36">
        <v>4</v>
      </c>
      <c r="D442" s="14" t="s">
        <v>1107</v>
      </c>
    </row>
    <row r="443" spans="1:4" ht="19.5" customHeight="1">
      <c r="A443" s="9"/>
      <c r="B443" s="24" t="s">
        <v>2622</v>
      </c>
      <c r="C443" s="36" t="s">
        <v>2656</v>
      </c>
      <c r="D443" s="14" t="s">
        <v>651</v>
      </c>
    </row>
    <row r="444" spans="1:4" ht="19.5" customHeight="1">
      <c r="A444" s="9"/>
      <c r="B444" s="24" t="s">
        <v>2568</v>
      </c>
      <c r="C444" s="30" t="s">
        <v>2623</v>
      </c>
      <c r="D444" s="14" t="s">
        <v>2569</v>
      </c>
    </row>
    <row r="445" spans="1:4" ht="19.5" customHeight="1">
      <c r="A445" s="9"/>
      <c r="B445" s="24" t="s">
        <v>2624</v>
      </c>
      <c r="C445" s="36">
        <v>2</v>
      </c>
      <c r="D445" s="14" t="s">
        <v>1179</v>
      </c>
    </row>
    <row r="446" spans="1:4" ht="19.5" customHeight="1">
      <c r="A446" s="9"/>
      <c r="B446" s="24" t="s">
        <v>2625</v>
      </c>
      <c r="C446" s="36">
        <v>2</v>
      </c>
      <c r="D446" s="14" t="s">
        <v>2571</v>
      </c>
    </row>
    <row r="447" spans="1:4" ht="19.5" customHeight="1">
      <c r="A447" s="9"/>
      <c r="B447" s="31" t="s">
        <v>2626</v>
      </c>
      <c r="C447" s="32" t="s">
        <v>2623</v>
      </c>
      <c r="D447" s="14" t="s">
        <v>1181</v>
      </c>
    </row>
    <row r="448" spans="1:4" ht="19.5" customHeight="1">
      <c r="A448" s="9" t="s">
        <v>1286</v>
      </c>
      <c r="B448" s="33" t="s">
        <v>2630</v>
      </c>
      <c r="C448" s="34" t="s">
        <v>2608</v>
      </c>
      <c r="D448" s="14" t="s">
        <v>2151</v>
      </c>
    </row>
    <row r="449" spans="1:4" ht="19.5" customHeight="1">
      <c r="A449" s="9"/>
      <c r="B449" s="24" t="s">
        <v>2631</v>
      </c>
      <c r="C449" s="30" t="s">
        <v>2609</v>
      </c>
      <c r="D449" s="14" t="s">
        <v>2170</v>
      </c>
    </row>
    <row r="450" spans="1:4" ht="19.5" customHeight="1">
      <c r="A450" s="9"/>
      <c r="B450" s="24" t="s">
        <v>2657</v>
      </c>
      <c r="C450" s="30" t="s">
        <v>2608</v>
      </c>
      <c r="D450" s="14" t="s">
        <v>2134</v>
      </c>
    </row>
    <row r="451" spans="1:4" ht="19.5" customHeight="1">
      <c r="A451" s="9"/>
      <c r="B451" s="24" t="s">
        <v>420</v>
      </c>
      <c r="C451" s="30" t="s">
        <v>2609</v>
      </c>
      <c r="D451" s="14" t="s">
        <v>422</v>
      </c>
    </row>
    <row r="452" spans="1:4" ht="15" customHeight="1">
      <c r="A452" s="9"/>
      <c r="B452" s="24" t="s">
        <v>420</v>
      </c>
      <c r="C452" s="30" t="s">
        <v>2608</v>
      </c>
      <c r="D452" s="14" t="s">
        <v>422</v>
      </c>
    </row>
    <row r="453" spans="1:4" ht="15" customHeight="1">
      <c r="A453" s="9"/>
      <c r="B453" s="24" t="s">
        <v>2659</v>
      </c>
      <c r="C453" s="30" t="s">
        <v>2608</v>
      </c>
      <c r="D453" s="14" t="s">
        <v>2188</v>
      </c>
    </row>
    <row r="454" spans="1:4" ht="15" customHeight="1">
      <c r="A454" s="9"/>
      <c r="B454" s="24" t="s">
        <v>2610</v>
      </c>
      <c r="C454" s="30" t="s">
        <v>2608</v>
      </c>
      <c r="D454" s="14" t="s">
        <v>2184</v>
      </c>
    </row>
    <row r="455" spans="1:4" ht="15" customHeight="1">
      <c r="A455" s="9"/>
      <c r="B455" s="24" t="s">
        <v>2613</v>
      </c>
      <c r="C455" s="30" t="s">
        <v>2608</v>
      </c>
      <c r="D455" s="14" t="s">
        <v>2614</v>
      </c>
    </row>
    <row r="456" spans="1:4" ht="15" customHeight="1">
      <c r="A456" s="9"/>
      <c r="B456" s="24" t="s">
        <v>2632</v>
      </c>
      <c r="C456" s="30" t="s">
        <v>2608</v>
      </c>
      <c r="D456" s="14" t="s">
        <v>2633</v>
      </c>
    </row>
    <row r="457" spans="1:4" ht="15" customHeight="1">
      <c r="A457" s="9"/>
      <c r="B457" s="24" t="s">
        <v>2646</v>
      </c>
      <c r="C457" s="30" t="s">
        <v>2609</v>
      </c>
      <c r="D457" s="14" t="s">
        <v>424</v>
      </c>
    </row>
    <row r="458" spans="1:4" ht="15" customHeight="1">
      <c r="A458" s="9"/>
      <c r="B458" s="24" t="s">
        <v>2617</v>
      </c>
      <c r="C458" s="36">
        <v>1</v>
      </c>
      <c r="D458" s="14" t="s">
        <v>2293</v>
      </c>
    </row>
    <row r="459" spans="1:4" ht="15" customHeight="1">
      <c r="A459" s="9"/>
      <c r="B459" s="24" t="s">
        <v>2618</v>
      </c>
      <c r="C459" s="36">
        <v>1</v>
      </c>
      <c r="D459" s="14" t="s">
        <v>2317</v>
      </c>
    </row>
    <row r="460" spans="1:4" ht="15" customHeight="1">
      <c r="A460" s="9"/>
      <c r="B460" s="24" t="s">
        <v>2619</v>
      </c>
      <c r="C460" s="36">
        <v>4</v>
      </c>
      <c r="D460" s="14" t="s">
        <v>2565</v>
      </c>
    </row>
    <row r="461" spans="1:4" ht="15" customHeight="1">
      <c r="A461" s="9"/>
      <c r="B461" s="24" t="s">
        <v>2620</v>
      </c>
      <c r="C461" s="36">
        <v>2</v>
      </c>
      <c r="D461" s="14" t="s">
        <v>547</v>
      </c>
    </row>
    <row r="462" spans="1:4" ht="15" customHeight="1">
      <c r="A462" s="9"/>
      <c r="B462" s="24" t="s">
        <v>2621</v>
      </c>
      <c r="C462" s="36">
        <v>4</v>
      </c>
      <c r="D462" s="14" t="s">
        <v>1107</v>
      </c>
    </row>
    <row r="463" spans="1:4" ht="15" customHeight="1">
      <c r="A463" s="9"/>
      <c r="B463" s="24" t="s">
        <v>2622</v>
      </c>
      <c r="C463" s="36" t="s">
        <v>2656</v>
      </c>
      <c r="D463" s="14" t="s">
        <v>651</v>
      </c>
    </row>
    <row r="464" spans="1:4" ht="15" customHeight="1">
      <c r="A464" s="9"/>
      <c r="B464" s="24" t="s">
        <v>2568</v>
      </c>
      <c r="C464" s="30" t="s">
        <v>2623</v>
      </c>
      <c r="D464" s="14" t="s">
        <v>2569</v>
      </c>
    </row>
    <row r="465" spans="1:4" ht="19.5" customHeight="1">
      <c r="A465" s="9"/>
      <c r="B465" s="24" t="s">
        <v>2624</v>
      </c>
      <c r="C465" s="36">
        <v>2</v>
      </c>
      <c r="D465" s="14" t="s">
        <v>1179</v>
      </c>
    </row>
    <row r="466" spans="1:4" ht="19.5" customHeight="1">
      <c r="A466" s="9"/>
      <c r="B466" s="24" t="s">
        <v>2645</v>
      </c>
      <c r="C466" s="36">
        <v>2</v>
      </c>
      <c r="D466" s="14" t="s">
        <v>2571</v>
      </c>
    </row>
    <row r="467" spans="1:4" ht="19.5" customHeight="1">
      <c r="A467" s="9"/>
      <c r="B467" s="31" t="s">
        <v>2626</v>
      </c>
      <c r="C467" s="32" t="s">
        <v>2623</v>
      </c>
      <c r="D467" s="14" t="s">
        <v>1181</v>
      </c>
    </row>
    <row r="468" spans="1:4" ht="19.5" customHeight="1">
      <c r="A468" s="35"/>
      <c r="B468" s="24"/>
      <c r="C468" s="36"/>
      <c r="D468" s="14"/>
    </row>
    <row r="469" spans="1:4" ht="19.5" customHeight="1">
      <c r="A469" s="35"/>
      <c r="B469" s="24"/>
      <c r="C469" s="36"/>
      <c r="D469" s="14"/>
    </row>
    <row r="470" spans="1:4" ht="15" customHeight="1">
      <c r="A470" s="9" t="s">
        <v>1288</v>
      </c>
      <c r="B470" s="33" t="s">
        <v>2611</v>
      </c>
      <c r="C470" s="34" t="s">
        <v>2608</v>
      </c>
      <c r="D470" s="14" t="s">
        <v>2148</v>
      </c>
    </row>
    <row r="471" spans="1:4" ht="15" customHeight="1">
      <c r="A471" s="9"/>
      <c r="B471" s="24" t="s">
        <v>2627</v>
      </c>
      <c r="C471" s="30" t="s">
        <v>2609</v>
      </c>
      <c r="D471" s="14" t="s">
        <v>2167</v>
      </c>
    </row>
    <row r="472" spans="1:4" ht="15" customHeight="1">
      <c r="A472" s="9"/>
      <c r="B472" s="24" t="s">
        <v>2657</v>
      </c>
      <c r="C472" s="30" t="s">
        <v>2608</v>
      </c>
      <c r="D472" s="14" t="s">
        <v>2134</v>
      </c>
    </row>
    <row r="473" spans="1:4" ht="15" customHeight="1">
      <c r="A473" s="9"/>
      <c r="B473" s="24" t="s">
        <v>420</v>
      </c>
      <c r="C473" s="30" t="s">
        <v>2609</v>
      </c>
      <c r="D473" s="14" t="s">
        <v>422</v>
      </c>
    </row>
    <row r="474" spans="1:4" ht="15" customHeight="1">
      <c r="A474" s="9"/>
      <c r="B474" s="24" t="s">
        <v>420</v>
      </c>
      <c r="C474" s="30" t="s">
        <v>2608</v>
      </c>
      <c r="D474" s="14" t="s">
        <v>422</v>
      </c>
    </row>
    <row r="475" spans="1:4" ht="15" customHeight="1">
      <c r="A475" s="9"/>
      <c r="B475" s="24" t="s">
        <v>2658</v>
      </c>
      <c r="C475" s="30" t="s">
        <v>2608</v>
      </c>
      <c r="D475" s="14" t="s">
        <v>404</v>
      </c>
    </row>
    <row r="476" spans="1:4" ht="15" customHeight="1">
      <c r="A476" s="9"/>
      <c r="B476" s="24" t="s">
        <v>2659</v>
      </c>
      <c r="C476" s="30" t="s">
        <v>2608</v>
      </c>
      <c r="D476" s="14" t="s">
        <v>2188</v>
      </c>
    </row>
    <row r="477" spans="1:4" ht="15" customHeight="1">
      <c r="A477" s="9"/>
      <c r="B477" s="24" t="s">
        <v>2610</v>
      </c>
      <c r="C477" s="30" t="s">
        <v>2608</v>
      </c>
      <c r="D477" s="14" t="s">
        <v>2184</v>
      </c>
    </row>
    <row r="478" spans="1:4" ht="15" customHeight="1">
      <c r="A478" s="9"/>
      <c r="B478" s="24" t="s">
        <v>2613</v>
      </c>
      <c r="C478" s="30" t="s">
        <v>2608</v>
      </c>
      <c r="D478" s="14" t="s">
        <v>2614</v>
      </c>
    </row>
    <row r="479" spans="1:4" ht="15" customHeight="1">
      <c r="A479" s="9"/>
      <c r="B479" s="24" t="s">
        <v>2636</v>
      </c>
      <c r="C479" s="30" t="s">
        <v>2608</v>
      </c>
      <c r="D479" s="14" t="s">
        <v>2174</v>
      </c>
    </row>
    <row r="480" spans="1:4" ht="15" customHeight="1">
      <c r="A480" s="9"/>
      <c r="B480" s="24" t="s">
        <v>2616</v>
      </c>
      <c r="C480" s="30" t="s">
        <v>2609</v>
      </c>
      <c r="D480" s="14" t="s">
        <v>424</v>
      </c>
    </row>
    <row r="481" spans="1:4" ht="15" customHeight="1">
      <c r="A481" s="9"/>
      <c r="B481" s="24" t="s">
        <v>2617</v>
      </c>
      <c r="C481" s="36">
        <v>1</v>
      </c>
      <c r="D481" s="14" t="s">
        <v>2293</v>
      </c>
    </row>
    <row r="482" spans="1:4" ht="15" customHeight="1">
      <c r="A482" s="9"/>
      <c r="B482" s="24" t="s">
        <v>2618</v>
      </c>
      <c r="C482" s="36">
        <v>1</v>
      </c>
      <c r="D482" s="14" t="s">
        <v>2317</v>
      </c>
    </row>
    <row r="483" spans="1:4" ht="19.5" customHeight="1">
      <c r="A483" s="9"/>
      <c r="B483" s="24" t="s">
        <v>2619</v>
      </c>
      <c r="C483" s="36">
        <v>4</v>
      </c>
      <c r="D483" s="14" t="s">
        <v>2565</v>
      </c>
    </row>
    <row r="484" spans="1:4" ht="19.5" customHeight="1">
      <c r="A484" s="9"/>
      <c r="B484" s="24" t="s">
        <v>2620</v>
      </c>
      <c r="C484" s="36">
        <v>2</v>
      </c>
      <c r="D484" s="14" t="s">
        <v>547</v>
      </c>
    </row>
    <row r="485" spans="1:4" ht="19.5" customHeight="1">
      <c r="A485" s="9"/>
      <c r="B485" s="24" t="s">
        <v>2621</v>
      </c>
      <c r="C485" s="36">
        <v>4</v>
      </c>
      <c r="D485" s="14" t="s">
        <v>1107</v>
      </c>
    </row>
    <row r="486" spans="1:4" ht="19.5" customHeight="1">
      <c r="A486" s="9"/>
      <c r="B486" s="24" t="s">
        <v>2622</v>
      </c>
      <c r="C486" s="36" t="s">
        <v>2656</v>
      </c>
      <c r="D486" s="14" t="s">
        <v>651</v>
      </c>
    </row>
    <row r="487" spans="1:4" ht="19.5" customHeight="1">
      <c r="A487" s="9"/>
      <c r="B487" s="24" t="s">
        <v>2568</v>
      </c>
      <c r="C487" s="30" t="s">
        <v>2623</v>
      </c>
      <c r="D487" s="14" t="s">
        <v>2569</v>
      </c>
    </row>
    <row r="488" spans="1:4" ht="19.5" customHeight="1">
      <c r="A488" s="9"/>
      <c r="B488" s="24" t="s">
        <v>2624</v>
      </c>
      <c r="C488" s="36">
        <v>2</v>
      </c>
      <c r="D488" s="14" t="s">
        <v>1179</v>
      </c>
    </row>
    <row r="489" spans="1:4" ht="19.5" customHeight="1">
      <c r="A489" s="9"/>
      <c r="B489" s="24" t="s">
        <v>2625</v>
      </c>
      <c r="C489" s="36">
        <v>2</v>
      </c>
      <c r="D489" s="14" t="s">
        <v>2571</v>
      </c>
    </row>
    <row r="490" spans="1:4" ht="19.5" customHeight="1">
      <c r="A490" s="9"/>
      <c r="B490" s="31" t="s">
        <v>2626</v>
      </c>
      <c r="C490" s="32" t="s">
        <v>2623</v>
      </c>
      <c r="D490" s="14" t="s">
        <v>1181</v>
      </c>
    </row>
    <row r="491" spans="1:4" ht="19.5" customHeight="1">
      <c r="A491" s="9" t="s">
        <v>1290</v>
      </c>
      <c r="B491" s="33" t="s">
        <v>2630</v>
      </c>
      <c r="C491" s="34" t="s">
        <v>2608</v>
      </c>
      <c r="D491" s="14" t="s">
        <v>2151</v>
      </c>
    </row>
    <row r="492" spans="1:4" ht="19.5" customHeight="1">
      <c r="A492" s="9"/>
      <c r="B492" s="24" t="s">
        <v>2631</v>
      </c>
      <c r="C492" s="30" t="s">
        <v>2609</v>
      </c>
      <c r="D492" s="14" t="s">
        <v>2170</v>
      </c>
    </row>
    <row r="493" spans="1:4" ht="19.5" customHeight="1">
      <c r="A493" s="9"/>
      <c r="B493" s="24" t="s">
        <v>2657</v>
      </c>
      <c r="C493" s="30" t="s">
        <v>2608</v>
      </c>
      <c r="D493" s="14" t="s">
        <v>2134</v>
      </c>
    </row>
    <row r="494" spans="1:4" ht="19.5" customHeight="1">
      <c r="A494" s="9"/>
      <c r="B494" s="24" t="s">
        <v>420</v>
      </c>
      <c r="C494" s="30" t="s">
        <v>2609</v>
      </c>
      <c r="D494" s="14" t="s">
        <v>422</v>
      </c>
    </row>
    <row r="495" spans="1:4" ht="19.5" customHeight="1">
      <c r="A495" s="9"/>
      <c r="B495" s="24" t="s">
        <v>420</v>
      </c>
      <c r="C495" s="30" t="s">
        <v>2608</v>
      </c>
      <c r="D495" s="14" t="s">
        <v>422</v>
      </c>
    </row>
    <row r="496" spans="1:4" ht="15" customHeight="1">
      <c r="A496" s="9"/>
      <c r="B496" s="24" t="s">
        <v>2658</v>
      </c>
      <c r="C496" s="30" t="s">
        <v>2608</v>
      </c>
      <c r="D496" s="14" t="s">
        <v>404</v>
      </c>
    </row>
    <row r="497" spans="1:4" ht="19.5" customHeight="1">
      <c r="A497" s="9"/>
      <c r="B497" s="24" t="s">
        <v>2659</v>
      </c>
      <c r="C497" s="30" t="s">
        <v>2608</v>
      </c>
      <c r="D497" s="14" t="s">
        <v>2188</v>
      </c>
    </row>
    <row r="498" spans="1:4" ht="19.5" customHeight="1">
      <c r="A498" s="9"/>
      <c r="B498" s="24" t="s">
        <v>2610</v>
      </c>
      <c r="C498" s="30" t="s">
        <v>2608</v>
      </c>
      <c r="D498" s="14" t="s">
        <v>2184</v>
      </c>
    </row>
    <row r="499" spans="1:4" ht="19.5" customHeight="1">
      <c r="A499" s="9"/>
      <c r="B499" s="24" t="s">
        <v>2613</v>
      </c>
      <c r="C499" s="30" t="s">
        <v>2608</v>
      </c>
      <c r="D499" s="14" t="s">
        <v>2614</v>
      </c>
    </row>
    <row r="500" spans="1:4" ht="19.5" customHeight="1">
      <c r="A500" s="9"/>
      <c r="B500" s="24" t="s">
        <v>2632</v>
      </c>
      <c r="C500" s="30" t="s">
        <v>2608</v>
      </c>
      <c r="D500" s="14" t="s">
        <v>2633</v>
      </c>
    </row>
    <row r="501" spans="1:4" ht="15" customHeight="1">
      <c r="A501" s="9"/>
      <c r="B501" s="24" t="s">
        <v>2634</v>
      </c>
      <c r="C501" s="30" t="s">
        <v>2609</v>
      </c>
      <c r="D501" s="14" t="s">
        <v>424</v>
      </c>
    </row>
    <row r="502" spans="1:4" ht="15" customHeight="1">
      <c r="A502" s="9"/>
      <c r="B502" s="24" t="s">
        <v>2617</v>
      </c>
      <c r="C502" s="36">
        <v>1</v>
      </c>
      <c r="D502" s="14" t="s">
        <v>2293</v>
      </c>
    </row>
    <row r="503" spans="1:4" ht="15" customHeight="1">
      <c r="A503" s="9"/>
      <c r="B503" s="24" t="s">
        <v>2618</v>
      </c>
      <c r="C503" s="36">
        <v>1</v>
      </c>
      <c r="D503" s="14" t="s">
        <v>2317</v>
      </c>
    </row>
    <row r="504" spans="1:4" ht="15" customHeight="1">
      <c r="A504" s="9"/>
      <c r="B504" s="24" t="s">
        <v>2619</v>
      </c>
      <c r="C504" s="36">
        <v>4</v>
      </c>
      <c r="D504" s="14" t="s">
        <v>2565</v>
      </c>
    </row>
    <row r="505" spans="1:4" ht="15" customHeight="1">
      <c r="A505" s="9"/>
      <c r="B505" s="24" t="s">
        <v>2620</v>
      </c>
      <c r="C505" s="36">
        <v>2</v>
      </c>
      <c r="D505" s="14" t="s">
        <v>547</v>
      </c>
    </row>
    <row r="506" spans="1:4" ht="15" customHeight="1">
      <c r="A506" s="9"/>
      <c r="B506" s="24" t="s">
        <v>2621</v>
      </c>
      <c r="C506" s="36">
        <v>4</v>
      </c>
      <c r="D506" s="14" t="s">
        <v>1107</v>
      </c>
    </row>
    <row r="507" spans="1:4" ht="15" customHeight="1">
      <c r="A507" s="9"/>
      <c r="B507" s="24" t="s">
        <v>2622</v>
      </c>
      <c r="C507" s="36" t="s">
        <v>2656</v>
      </c>
      <c r="D507" s="14" t="s">
        <v>651</v>
      </c>
    </row>
    <row r="508" spans="1:4" ht="15" customHeight="1">
      <c r="A508" s="9"/>
      <c r="B508" s="24" t="s">
        <v>2568</v>
      </c>
      <c r="C508" s="30" t="s">
        <v>2623</v>
      </c>
      <c r="D508" s="14" t="s">
        <v>2569</v>
      </c>
    </row>
    <row r="509" spans="1:4" ht="19.5" customHeight="1">
      <c r="A509" s="9"/>
      <c r="B509" s="24" t="s">
        <v>2624</v>
      </c>
      <c r="C509" s="36">
        <v>2</v>
      </c>
      <c r="D509" s="14" t="s">
        <v>1179</v>
      </c>
    </row>
    <row r="510" spans="1:4" ht="15" customHeight="1">
      <c r="A510" s="9"/>
      <c r="B510" s="24" t="s">
        <v>2625</v>
      </c>
      <c r="C510" s="36">
        <v>2</v>
      </c>
      <c r="D510" s="14" t="s">
        <v>2571</v>
      </c>
    </row>
    <row r="511" spans="1:4" ht="19.5" customHeight="1">
      <c r="A511" s="9"/>
      <c r="B511" s="31" t="s">
        <v>2626</v>
      </c>
      <c r="C511" s="32" t="s">
        <v>2623</v>
      </c>
      <c r="D511" s="14" t="s">
        <v>1181</v>
      </c>
    </row>
    <row r="512" spans="1:4" ht="19.5" customHeight="1">
      <c r="A512" s="35"/>
      <c r="B512" s="24"/>
      <c r="C512" s="36"/>
      <c r="D512" s="14"/>
    </row>
    <row r="513" spans="1:4" ht="19.5" customHeight="1">
      <c r="A513" s="35"/>
      <c r="B513" s="24"/>
      <c r="C513" s="36"/>
      <c r="D513" s="14"/>
    </row>
    <row r="514" spans="1:4" ht="19.5" customHeight="1">
      <c r="A514" s="8" t="s">
        <v>1294</v>
      </c>
      <c r="B514" s="33" t="s">
        <v>2630</v>
      </c>
      <c r="C514" s="34" t="s">
        <v>2608</v>
      </c>
      <c r="D514" s="14" t="s">
        <v>2151</v>
      </c>
    </row>
    <row r="515" spans="1:4" ht="19.5" customHeight="1">
      <c r="A515" s="8"/>
      <c r="B515" s="24" t="s">
        <v>2631</v>
      </c>
      <c r="C515" s="30" t="s">
        <v>2609</v>
      </c>
      <c r="D515" s="14" t="s">
        <v>2170</v>
      </c>
    </row>
    <row r="516" spans="1:4" ht="19.5" customHeight="1">
      <c r="A516" s="8"/>
      <c r="B516" s="24" t="s">
        <v>2655</v>
      </c>
      <c r="C516" s="30" t="s">
        <v>2608</v>
      </c>
      <c r="D516" s="14" t="s">
        <v>2134</v>
      </c>
    </row>
    <row r="517" spans="1:4" ht="19.5" customHeight="1">
      <c r="A517" s="8"/>
      <c r="B517" s="24" t="s">
        <v>420</v>
      </c>
      <c r="C517" s="30" t="s">
        <v>2609</v>
      </c>
      <c r="D517" s="14" t="s">
        <v>422</v>
      </c>
    </row>
    <row r="518" spans="1:4" ht="19.5" customHeight="1">
      <c r="A518" s="8"/>
      <c r="B518" s="24" t="s">
        <v>420</v>
      </c>
      <c r="C518" s="30" t="s">
        <v>2609</v>
      </c>
      <c r="D518" s="14" t="s">
        <v>422</v>
      </c>
    </row>
    <row r="519" spans="1:4" ht="19.5" customHeight="1">
      <c r="A519" s="8"/>
      <c r="B519" s="24" t="s">
        <v>420</v>
      </c>
      <c r="C519" s="30" t="s">
        <v>2608</v>
      </c>
      <c r="D519" s="14" t="s">
        <v>422</v>
      </c>
    </row>
    <row r="520" spans="1:4" ht="19.5" customHeight="1">
      <c r="A520" s="8"/>
      <c r="B520" s="24" t="s">
        <v>2638</v>
      </c>
      <c r="C520" s="30" t="s">
        <v>2608</v>
      </c>
      <c r="D520" s="14" t="s">
        <v>1898</v>
      </c>
    </row>
    <row r="521" spans="1:4" ht="19.5" customHeight="1">
      <c r="A521" s="8"/>
      <c r="B521" s="24" t="s">
        <v>2610</v>
      </c>
      <c r="C521" s="30" t="s">
        <v>2608</v>
      </c>
      <c r="D521" s="14" t="s">
        <v>2184</v>
      </c>
    </row>
    <row r="522" spans="1:4" ht="19.5" customHeight="1">
      <c r="A522" s="8"/>
      <c r="B522" s="24" t="s">
        <v>2613</v>
      </c>
      <c r="C522" s="30" t="s">
        <v>2608</v>
      </c>
      <c r="D522" s="14" t="s">
        <v>2614</v>
      </c>
    </row>
    <row r="523" spans="1:4" ht="19.5" customHeight="1">
      <c r="A523" s="8"/>
      <c r="B523" s="24" t="s">
        <v>2617</v>
      </c>
      <c r="C523" s="36">
        <v>1</v>
      </c>
      <c r="D523" s="14" t="s">
        <v>2293</v>
      </c>
    </row>
    <row r="524" spans="1:4" ht="19.5" customHeight="1">
      <c r="A524" s="8"/>
      <c r="B524" s="24" t="s">
        <v>2618</v>
      </c>
      <c r="C524" s="36">
        <v>1</v>
      </c>
      <c r="D524" s="14" t="s">
        <v>2317</v>
      </c>
    </row>
    <row r="525" spans="1:4" ht="19.5" customHeight="1">
      <c r="A525" s="8"/>
      <c r="B525" s="24" t="s">
        <v>2619</v>
      </c>
      <c r="C525" s="36">
        <v>4</v>
      </c>
      <c r="D525" s="14" t="s">
        <v>2565</v>
      </c>
    </row>
    <row r="526" spans="1:4" ht="19.5" customHeight="1">
      <c r="A526" s="8"/>
      <c r="B526" s="24" t="s">
        <v>2640</v>
      </c>
      <c r="C526" s="36">
        <v>3</v>
      </c>
      <c r="D526" s="14" t="s">
        <v>1113</v>
      </c>
    </row>
    <row r="527" spans="1:4" ht="19.5" customHeight="1">
      <c r="A527" s="8"/>
      <c r="B527" s="24" t="s">
        <v>2620</v>
      </c>
      <c r="C527" s="36">
        <v>2</v>
      </c>
      <c r="D527" s="14" t="s">
        <v>547</v>
      </c>
    </row>
    <row r="528" spans="1:4" ht="19.5" customHeight="1">
      <c r="A528" s="8"/>
      <c r="B528" s="24" t="s">
        <v>2621</v>
      </c>
      <c r="C528" s="36">
        <v>4</v>
      </c>
      <c r="D528" s="14" t="s">
        <v>1107</v>
      </c>
    </row>
    <row r="529" spans="1:4" ht="19.5" customHeight="1">
      <c r="A529" s="8"/>
      <c r="B529" s="24" t="s">
        <v>2642</v>
      </c>
      <c r="C529" s="36" t="s">
        <v>2656</v>
      </c>
      <c r="D529" s="14" t="s">
        <v>653</v>
      </c>
    </row>
    <row r="530" spans="1:4" ht="19.5" customHeight="1">
      <c r="A530" s="8"/>
      <c r="B530" s="24" t="s">
        <v>2568</v>
      </c>
      <c r="C530" s="30" t="s">
        <v>2623</v>
      </c>
      <c r="D530" s="14" t="s">
        <v>2569</v>
      </c>
    </row>
    <row r="531" spans="1:4" ht="19.5" customHeight="1">
      <c r="A531" s="8" t="s">
        <v>1296</v>
      </c>
      <c r="B531" s="33" t="s">
        <v>2611</v>
      </c>
      <c r="C531" s="34" t="s">
        <v>2608</v>
      </c>
      <c r="D531" s="14" t="s">
        <v>2148</v>
      </c>
    </row>
    <row r="532" spans="1:4" ht="19.5" customHeight="1">
      <c r="A532" s="8"/>
      <c r="B532" s="24" t="s">
        <v>2627</v>
      </c>
      <c r="C532" s="30" t="s">
        <v>2609</v>
      </c>
      <c r="D532" s="14" t="s">
        <v>2167</v>
      </c>
    </row>
    <row r="533" spans="1:4" ht="19.5" customHeight="1">
      <c r="A533" s="8"/>
      <c r="B533" s="24" t="s">
        <v>2657</v>
      </c>
      <c r="C533" s="30" t="s">
        <v>2608</v>
      </c>
      <c r="D533" s="14" t="s">
        <v>2134</v>
      </c>
    </row>
    <row r="534" spans="1:4" ht="19.5" customHeight="1">
      <c r="A534" s="8"/>
      <c r="B534" s="24" t="s">
        <v>420</v>
      </c>
      <c r="C534" s="30" t="s">
        <v>2609</v>
      </c>
      <c r="D534" s="14" t="s">
        <v>422</v>
      </c>
    </row>
    <row r="535" spans="1:4" ht="19.5" customHeight="1">
      <c r="A535" s="8"/>
      <c r="B535" s="24" t="s">
        <v>420</v>
      </c>
      <c r="C535" s="30" t="s">
        <v>2609</v>
      </c>
      <c r="D535" s="14" t="s">
        <v>422</v>
      </c>
    </row>
    <row r="536" spans="1:4" ht="19.5" customHeight="1">
      <c r="A536" s="8"/>
      <c r="B536" s="24" t="s">
        <v>420</v>
      </c>
      <c r="C536" s="30" t="s">
        <v>2608</v>
      </c>
      <c r="D536" s="14" t="s">
        <v>422</v>
      </c>
    </row>
    <row r="537" spans="1:4" ht="19.5" customHeight="1">
      <c r="A537" s="8"/>
      <c r="B537" s="24" t="s">
        <v>2658</v>
      </c>
      <c r="C537" s="30" t="s">
        <v>2608</v>
      </c>
      <c r="D537" s="14" t="s">
        <v>404</v>
      </c>
    </row>
    <row r="538" spans="1:4" ht="19.5" customHeight="1">
      <c r="A538" s="8"/>
      <c r="B538" s="24" t="s">
        <v>2638</v>
      </c>
      <c r="C538" s="30" t="s">
        <v>2608</v>
      </c>
      <c r="D538" s="14" t="s">
        <v>1898</v>
      </c>
    </row>
    <row r="539" spans="1:4" ht="19.5" customHeight="1">
      <c r="A539" s="8"/>
      <c r="B539" s="24" t="s">
        <v>2610</v>
      </c>
      <c r="C539" s="30" t="s">
        <v>2608</v>
      </c>
      <c r="D539" s="14" t="s">
        <v>2184</v>
      </c>
    </row>
    <row r="540" spans="1:4" ht="19.5" customHeight="1">
      <c r="A540" s="8"/>
      <c r="B540" s="24" t="s">
        <v>2613</v>
      </c>
      <c r="C540" s="30" t="s">
        <v>2608</v>
      </c>
      <c r="D540" s="14" t="s">
        <v>2614</v>
      </c>
    </row>
    <row r="541" spans="1:4" ht="19.5" customHeight="1">
      <c r="A541" s="8"/>
      <c r="B541" s="24" t="s">
        <v>2617</v>
      </c>
      <c r="C541" s="36">
        <v>1</v>
      </c>
      <c r="D541" s="14" t="s">
        <v>2293</v>
      </c>
    </row>
    <row r="542" spans="1:4" ht="19.5" customHeight="1">
      <c r="A542" s="8"/>
      <c r="B542" s="24" t="s">
        <v>2618</v>
      </c>
      <c r="C542" s="36">
        <v>1</v>
      </c>
      <c r="D542" s="14" t="s">
        <v>2317</v>
      </c>
    </row>
    <row r="543" spans="1:4" ht="19.5" customHeight="1">
      <c r="A543" s="8"/>
      <c r="B543" s="24" t="s">
        <v>2619</v>
      </c>
      <c r="C543" s="36">
        <v>4</v>
      </c>
      <c r="D543" s="14" t="s">
        <v>2565</v>
      </c>
    </row>
    <row r="544" spans="1:4" ht="19.5" customHeight="1">
      <c r="A544" s="8"/>
      <c r="B544" s="24" t="s">
        <v>2661</v>
      </c>
      <c r="C544" s="36">
        <v>2</v>
      </c>
      <c r="D544" s="14" t="s">
        <v>557</v>
      </c>
    </row>
    <row r="545" spans="1:4" ht="19.5" customHeight="1">
      <c r="A545" s="8"/>
      <c r="B545" s="24" t="s">
        <v>2640</v>
      </c>
      <c r="C545" s="36">
        <v>3</v>
      </c>
      <c r="D545" s="14" t="s">
        <v>1113</v>
      </c>
    </row>
    <row r="546" spans="1:4" ht="19.5" customHeight="1">
      <c r="A546" s="8"/>
      <c r="B546" s="24" t="s">
        <v>2621</v>
      </c>
      <c r="C546" s="36">
        <v>4</v>
      </c>
      <c r="D546" s="14" t="s">
        <v>1107</v>
      </c>
    </row>
    <row r="547" spans="1:4" ht="19.5" customHeight="1">
      <c r="A547" s="8"/>
      <c r="B547" s="24" t="s">
        <v>2642</v>
      </c>
      <c r="C547" s="36" t="s">
        <v>2656</v>
      </c>
      <c r="D547" s="14" t="s">
        <v>653</v>
      </c>
    </row>
    <row r="548" spans="1:4" ht="19.5" customHeight="1">
      <c r="A548" s="8"/>
      <c r="B548" s="24" t="s">
        <v>2568</v>
      </c>
      <c r="C548" s="30" t="s">
        <v>2623</v>
      </c>
      <c r="D548" s="14" t="s">
        <v>2569</v>
      </c>
    </row>
    <row r="549" spans="1:4" ht="19.5" customHeight="1">
      <c r="A549" s="35"/>
      <c r="B549" s="24"/>
      <c r="C549" s="36"/>
      <c r="D549" s="14"/>
    </row>
    <row r="550" spans="1:4" ht="19.5" customHeight="1">
      <c r="A550" s="35"/>
      <c r="B550" s="24"/>
      <c r="C550" s="36"/>
      <c r="D550" s="14"/>
    </row>
    <row r="551" spans="1:4" ht="19.5" customHeight="1">
      <c r="A551" s="35"/>
      <c r="B551" s="24"/>
      <c r="C551" s="36"/>
      <c r="D551" s="14"/>
    </row>
    <row r="552" spans="1:4" ht="19.5" customHeight="1">
      <c r="A552" s="35"/>
      <c r="B552" s="24"/>
      <c r="C552" s="36"/>
      <c r="D552" s="14"/>
    </row>
    <row r="553" spans="1:4" ht="19.5" customHeight="1">
      <c r="A553" s="8" t="s">
        <v>1298</v>
      </c>
      <c r="B553" s="33" t="s">
        <v>2630</v>
      </c>
      <c r="C553" s="34" t="s">
        <v>2608</v>
      </c>
      <c r="D553" s="14" t="s">
        <v>2151</v>
      </c>
    </row>
    <row r="554" spans="1:4" ht="19.5" customHeight="1">
      <c r="A554" s="8"/>
      <c r="B554" s="24" t="s">
        <v>2631</v>
      </c>
      <c r="C554" s="30" t="s">
        <v>2609</v>
      </c>
      <c r="D554" s="14" t="s">
        <v>2170</v>
      </c>
    </row>
    <row r="555" spans="1:4" ht="19.5" customHeight="1">
      <c r="A555" s="8"/>
      <c r="B555" s="24" t="s">
        <v>2657</v>
      </c>
      <c r="C555" s="30" t="s">
        <v>2608</v>
      </c>
      <c r="D555" s="14" t="s">
        <v>2134</v>
      </c>
    </row>
    <row r="556" spans="1:4" ht="19.5" customHeight="1">
      <c r="A556" s="8"/>
      <c r="B556" s="24" t="s">
        <v>420</v>
      </c>
      <c r="C556" s="30" t="s">
        <v>2609</v>
      </c>
      <c r="D556" s="14" t="s">
        <v>422</v>
      </c>
    </row>
    <row r="557" spans="1:4" ht="19.5" customHeight="1">
      <c r="A557" s="8"/>
      <c r="B557" s="24" t="s">
        <v>420</v>
      </c>
      <c r="C557" s="30" t="s">
        <v>2609</v>
      </c>
      <c r="D557" s="14" t="s">
        <v>422</v>
      </c>
    </row>
    <row r="558" spans="1:4" ht="19.5" customHeight="1">
      <c r="A558" s="8"/>
      <c r="B558" s="24" t="s">
        <v>420</v>
      </c>
      <c r="C558" s="30" t="s">
        <v>2608</v>
      </c>
      <c r="D558" s="14" t="s">
        <v>422</v>
      </c>
    </row>
    <row r="559" spans="1:4" ht="15" customHeight="1">
      <c r="A559" s="8"/>
      <c r="B559" s="24" t="s">
        <v>2658</v>
      </c>
      <c r="C559" s="30" t="s">
        <v>2608</v>
      </c>
      <c r="D559" s="14" t="s">
        <v>404</v>
      </c>
    </row>
    <row r="560" spans="1:4" ht="19.5" customHeight="1">
      <c r="A560" s="8"/>
      <c r="B560" s="24" t="s">
        <v>2638</v>
      </c>
      <c r="C560" s="30" t="s">
        <v>2608</v>
      </c>
      <c r="D560" s="14" t="s">
        <v>1898</v>
      </c>
    </row>
    <row r="561" spans="1:4" ht="19.5" customHeight="1">
      <c r="A561" s="8"/>
      <c r="B561" s="24" t="s">
        <v>2610</v>
      </c>
      <c r="C561" s="30" t="s">
        <v>2608</v>
      </c>
      <c r="D561" s="14" t="s">
        <v>2184</v>
      </c>
    </row>
    <row r="562" spans="1:4" ht="19.5" customHeight="1">
      <c r="A562" s="8"/>
      <c r="B562" s="24" t="s">
        <v>2613</v>
      </c>
      <c r="C562" s="30" t="s">
        <v>2608</v>
      </c>
      <c r="D562" s="14" t="s">
        <v>2614</v>
      </c>
    </row>
    <row r="563" spans="1:4" ht="19.5" customHeight="1">
      <c r="A563" s="8"/>
      <c r="B563" s="24" t="s">
        <v>2617</v>
      </c>
      <c r="C563" s="36">
        <v>1</v>
      </c>
      <c r="D563" s="14" t="s">
        <v>2293</v>
      </c>
    </row>
    <row r="564" spans="1:4" ht="15" customHeight="1">
      <c r="A564" s="8"/>
      <c r="B564" s="24" t="s">
        <v>2618</v>
      </c>
      <c r="C564" s="36">
        <v>1</v>
      </c>
      <c r="D564" s="14" t="s">
        <v>2317</v>
      </c>
    </row>
    <row r="565" spans="1:4" ht="15" customHeight="1">
      <c r="A565" s="8"/>
      <c r="B565" s="24" t="s">
        <v>2619</v>
      </c>
      <c r="C565" s="36">
        <v>4</v>
      </c>
      <c r="D565" s="14" t="s">
        <v>2565</v>
      </c>
    </row>
    <row r="566" spans="1:4" ht="15" customHeight="1">
      <c r="A566" s="8"/>
      <c r="B566" s="24" t="s">
        <v>2640</v>
      </c>
      <c r="C566" s="36">
        <v>3</v>
      </c>
      <c r="D566" s="14" t="s">
        <v>1113</v>
      </c>
    </row>
    <row r="567" spans="1:4" ht="15" customHeight="1">
      <c r="A567" s="8"/>
      <c r="B567" s="24" t="s">
        <v>2620</v>
      </c>
      <c r="C567" s="36">
        <v>2</v>
      </c>
      <c r="D567" s="14" t="s">
        <v>547</v>
      </c>
    </row>
    <row r="568" spans="1:4" ht="15" customHeight="1">
      <c r="A568" s="8"/>
      <c r="B568" s="24" t="s">
        <v>2621</v>
      </c>
      <c r="C568" s="36">
        <v>4</v>
      </c>
      <c r="D568" s="14" t="s">
        <v>1107</v>
      </c>
    </row>
    <row r="569" spans="1:4" ht="15" customHeight="1">
      <c r="A569" s="8"/>
      <c r="B569" s="24" t="s">
        <v>2642</v>
      </c>
      <c r="C569" s="36" t="s">
        <v>2656</v>
      </c>
      <c r="D569" s="14" t="s">
        <v>653</v>
      </c>
    </row>
    <row r="570" spans="1:4" ht="15" customHeight="1">
      <c r="A570" s="8"/>
      <c r="B570" s="24" t="s">
        <v>2568</v>
      </c>
      <c r="C570" s="30" t="s">
        <v>2623</v>
      </c>
      <c r="D570" s="14" t="s">
        <v>2569</v>
      </c>
    </row>
    <row r="571" spans="1:4" ht="15" customHeight="1">
      <c r="A571" s="9" t="s">
        <v>1300</v>
      </c>
      <c r="B571" s="33" t="s">
        <v>2611</v>
      </c>
      <c r="C571" s="34" t="s">
        <v>2608</v>
      </c>
      <c r="D571" s="14" t="s">
        <v>2148</v>
      </c>
    </row>
    <row r="572" spans="1:4" ht="15" customHeight="1">
      <c r="A572" s="9"/>
      <c r="B572" s="24" t="s">
        <v>2627</v>
      </c>
      <c r="C572" s="30" t="s">
        <v>2609</v>
      </c>
      <c r="D572" s="14" t="s">
        <v>2167</v>
      </c>
    </row>
    <row r="573" spans="1:4" ht="15" customHeight="1">
      <c r="A573" s="9"/>
      <c r="B573" s="24" t="s">
        <v>2657</v>
      </c>
      <c r="C573" s="30" t="s">
        <v>2608</v>
      </c>
      <c r="D573" s="14" t="s">
        <v>2134</v>
      </c>
    </row>
    <row r="574" spans="1:4" ht="15" customHeight="1">
      <c r="A574" s="9"/>
      <c r="B574" s="24" t="s">
        <v>420</v>
      </c>
      <c r="C574" s="30" t="s">
        <v>2609</v>
      </c>
      <c r="D574" s="14" t="s">
        <v>422</v>
      </c>
    </row>
    <row r="575" spans="1:4" ht="15" customHeight="1">
      <c r="A575" s="9"/>
      <c r="B575" s="24" t="s">
        <v>420</v>
      </c>
      <c r="C575" s="30" t="s">
        <v>2609</v>
      </c>
      <c r="D575" s="14" t="s">
        <v>422</v>
      </c>
    </row>
    <row r="576" spans="1:4" ht="15" customHeight="1">
      <c r="A576" s="9"/>
      <c r="B576" s="24" t="s">
        <v>420</v>
      </c>
      <c r="C576" s="30" t="s">
        <v>2608</v>
      </c>
      <c r="D576" s="14" t="s">
        <v>422</v>
      </c>
    </row>
    <row r="577" spans="1:4" ht="15" customHeight="1">
      <c r="A577" s="9"/>
      <c r="B577" s="24" t="s">
        <v>2610</v>
      </c>
      <c r="C577" s="30" t="s">
        <v>2608</v>
      </c>
      <c r="D577" s="14" t="s">
        <v>2184</v>
      </c>
    </row>
    <row r="578" spans="1:4" ht="15" customHeight="1">
      <c r="A578" s="9"/>
      <c r="B578" s="24" t="s">
        <v>2637</v>
      </c>
      <c r="C578" s="30" t="s">
        <v>2608</v>
      </c>
      <c r="D578" s="14" t="s">
        <v>2180</v>
      </c>
    </row>
    <row r="579" spans="1:4" ht="15" customHeight="1">
      <c r="A579" s="9"/>
      <c r="B579" s="24" t="s">
        <v>2638</v>
      </c>
      <c r="C579" s="30" t="s">
        <v>2608</v>
      </c>
      <c r="D579" s="14" t="s">
        <v>1898</v>
      </c>
    </row>
    <row r="580" spans="1:4" ht="15" customHeight="1">
      <c r="A580" s="9"/>
      <c r="B580" s="24" t="s">
        <v>2659</v>
      </c>
      <c r="C580" s="30" t="s">
        <v>2608</v>
      </c>
      <c r="D580" s="14" t="s">
        <v>2188</v>
      </c>
    </row>
    <row r="581" spans="1:4" ht="15" customHeight="1">
      <c r="A581" s="9"/>
      <c r="B581" s="24" t="s">
        <v>2613</v>
      </c>
      <c r="C581" s="30" t="s">
        <v>2608</v>
      </c>
      <c r="D581" s="14" t="s">
        <v>2614</v>
      </c>
    </row>
    <row r="582" spans="1:4" ht="15" customHeight="1">
      <c r="A582" s="9"/>
      <c r="B582" s="24" t="s">
        <v>2636</v>
      </c>
      <c r="C582" s="30" t="s">
        <v>2608</v>
      </c>
      <c r="D582" s="14" t="s">
        <v>2174</v>
      </c>
    </row>
    <row r="583" spans="1:4" ht="15" customHeight="1">
      <c r="A583" s="9"/>
      <c r="B583" s="24" t="s">
        <v>2616</v>
      </c>
      <c r="C583" s="30" t="s">
        <v>2609</v>
      </c>
      <c r="D583" s="14" t="s">
        <v>424</v>
      </c>
    </row>
    <row r="584" spans="1:4" ht="15" customHeight="1">
      <c r="A584" s="9"/>
      <c r="B584" s="24" t="s">
        <v>2617</v>
      </c>
      <c r="C584" s="36">
        <v>1</v>
      </c>
      <c r="D584" s="14" t="s">
        <v>2293</v>
      </c>
    </row>
    <row r="585" spans="1:4" ht="15" customHeight="1">
      <c r="A585" s="9"/>
      <c r="B585" s="24" t="s">
        <v>2618</v>
      </c>
      <c r="C585" s="36">
        <v>1</v>
      </c>
      <c r="D585" s="14" t="s">
        <v>2317</v>
      </c>
    </row>
    <row r="586" spans="1:4" ht="15" customHeight="1">
      <c r="A586" s="9"/>
      <c r="B586" s="24" t="s">
        <v>2619</v>
      </c>
      <c r="C586" s="36">
        <v>4</v>
      </c>
      <c r="D586" s="14" t="s">
        <v>2565</v>
      </c>
    </row>
    <row r="587" spans="1:4" ht="15" customHeight="1">
      <c r="A587" s="9"/>
      <c r="B587" s="24" t="s">
        <v>2639</v>
      </c>
      <c r="C587" s="36">
        <v>1</v>
      </c>
      <c r="D587" s="14" t="s">
        <v>2601</v>
      </c>
    </row>
    <row r="588" spans="1:4" ht="15" customHeight="1">
      <c r="A588" s="9"/>
      <c r="B588" s="24" t="s">
        <v>2641</v>
      </c>
      <c r="C588" s="36">
        <v>2</v>
      </c>
      <c r="D588" s="14" t="s">
        <v>557</v>
      </c>
    </row>
    <row r="589" spans="1:4" ht="19.5" customHeight="1">
      <c r="A589" s="9"/>
      <c r="B589" s="24" t="s">
        <v>2621</v>
      </c>
      <c r="C589" s="36">
        <v>4</v>
      </c>
      <c r="D589" s="14" t="s">
        <v>1107</v>
      </c>
    </row>
    <row r="590" spans="1:4" ht="19.5" customHeight="1">
      <c r="A590" s="9"/>
      <c r="B590" s="24" t="s">
        <v>2640</v>
      </c>
      <c r="C590" s="36">
        <v>3</v>
      </c>
      <c r="D590" s="14" t="s">
        <v>1113</v>
      </c>
    </row>
    <row r="591" spans="1:4" ht="19.5" customHeight="1">
      <c r="A591" s="9"/>
      <c r="B591" s="24" t="s">
        <v>2642</v>
      </c>
      <c r="C591" s="36" t="s">
        <v>2656</v>
      </c>
      <c r="D591" s="14" t="s">
        <v>653</v>
      </c>
    </row>
    <row r="592" spans="1:4" ht="19.5" customHeight="1">
      <c r="A592" s="9"/>
      <c r="B592" s="24" t="s">
        <v>2568</v>
      </c>
      <c r="C592" s="30" t="s">
        <v>2623</v>
      </c>
      <c r="D592" s="14" t="s">
        <v>2569</v>
      </c>
    </row>
    <row r="593" spans="1:4" ht="19.5" customHeight="1">
      <c r="A593" s="9"/>
      <c r="B593" s="24" t="s">
        <v>2624</v>
      </c>
      <c r="C593" s="36">
        <v>2</v>
      </c>
      <c r="D593" s="14" t="s">
        <v>1179</v>
      </c>
    </row>
    <row r="594" spans="1:4" ht="14.25" customHeight="1">
      <c r="A594" s="9"/>
      <c r="B594" s="24" t="s">
        <v>2625</v>
      </c>
      <c r="C594" s="36">
        <v>2</v>
      </c>
      <c r="D594" s="14" t="s">
        <v>2571</v>
      </c>
    </row>
    <row r="595" spans="1:4" ht="19.5" customHeight="1">
      <c r="A595" s="9"/>
      <c r="B595" s="31" t="s">
        <v>2626</v>
      </c>
      <c r="C595" s="32" t="s">
        <v>2623</v>
      </c>
      <c r="D595" s="14" t="s">
        <v>1181</v>
      </c>
    </row>
    <row r="596" spans="1:4" ht="19.5" customHeight="1">
      <c r="A596" s="35"/>
      <c r="B596" s="24"/>
      <c r="C596" s="36"/>
      <c r="D596" s="14"/>
    </row>
    <row r="597" spans="1:4" ht="23.25" customHeight="1">
      <c r="A597" s="35"/>
      <c r="B597" s="24"/>
      <c r="C597" s="36"/>
      <c r="D597" s="14"/>
    </row>
    <row r="598" spans="1:4" ht="15.75" customHeight="1">
      <c r="A598" s="9" t="s">
        <v>1302</v>
      </c>
      <c r="B598" s="33" t="s">
        <v>2630</v>
      </c>
      <c r="C598" s="34" t="s">
        <v>2608</v>
      </c>
      <c r="D598" s="14" t="s">
        <v>2151</v>
      </c>
    </row>
    <row r="599" spans="1:4" ht="15" customHeight="1">
      <c r="A599" s="9"/>
      <c r="B599" s="24" t="s">
        <v>2631</v>
      </c>
      <c r="C599" s="30" t="s">
        <v>2609</v>
      </c>
      <c r="D599" s="14" t="s">
        <v>2170</v>
      </c>
    </row>
    <row r="600" spans="1:4" ht="15" customHeight="1">
      <c r="A600" s="9"/>
      <c r="B600" s="24" t="s">
        <v>2657</v>
      </c>
      <c r="C600" s="30" t="s">
        <v>2608</v>
      </c>
      <c r="D600" s="14" t="s">
        <v>2134</v>
      </c>
    </row>
    <row r="601" spans="1:4" ht="15" customHeight="1">
      <c r="A601" s="9"/>
      <c r="B601" s="24" t="s">
        <v>420</v>
      </c>
      <c r="C601" s="30" t="s">
        <v>2609</v>
      </c>
      <c r="D601" s="14" t="s">
        <v>422</v>
      </c>
    </row>
    <row r="602" spans="1:4" ht="15" customHeight="1">
      <c r="A602" s="9"/>
      <c r="B602" s="24" t="s">
        <v>420</v>
      </c>
      <c r="C602" s="30" t="s">
        <v>2609</v>
      </c>
      <c r="D602" s="14" t="s">
        <v>422</v>
      </c>
    </row>
    <row r="603" spans="1:4" ht="15" customHeight="1">
      <c r="A603" s="9"/>
      <c r="B603" s="24" t="s">
        <v>420</v>
      </c>
      <c r="C603" s="30" t="s">
        <v>2608</v>
      </c>
      <c r="D603" s="14" t="s">
        <v>422</v>
      </c>
    </row>
    <row r="604" spans="1:4" ht="15" customHeight="1">
      <c r="A604" s="9"/>
      <c r="B604" s="24" t="s">
        <v>2659</v>
      </c>
      <c r="C604" s="30" t="s">
        <v>2608</v>
      </c>
      <c r="D604" s="14" t="s">
        <v>2188</v>
      </c>
    </row>
    <row r="605" spans="1:4" ht="15" customHeight="1">
      <c r="A605" s="9"/>
      <c r="B605" s="24" t="s">
        <v>2637</v>
      </c>
      <c r="C605" s="30" t="s">
        <v>2608</v>
      </c>
      <c r="D605" s="14" t="s">
        <v>2180</v>
      </c>
    </row>
    <row r="606" spans="1:4" ht="15" customHeight="1">
      <c r="A606" s="9"/>
      <c r="B606" s="24" t="s">
        <v>2638</v>
      </c>
      <c r="C606" s="30" t="s">
        <v>2608</v>
      </c>
      <c r="D606" s="14" t="s">
        <v>1898</v>
      </c>
    </row>
    <row r="607" spans="1:4" ht="15" customHeight="1">
      <c r="A607" s="9"/>
      <c r="B607" s="24" t="s">
        <v>2610</v>
      </c>
      <c r="C607" s="30" t="s">
        <v>2608</v>
      </c>
      <c r="D607" s="14" t="s">
        <v>2184</v>
      </c>
    </row>
    <row r="608" spans="1:4" ht="15" customHeight="1">
      <c r="A608" s="9"/>
      <c r="B608" s="24" t="s">
        <v>2613</v>
      </c>
      <c r="C608" s="30" t="s">
        <v>2608</v>
      </c>
      <c r="D608" s="14" t="s">
        <v>2614</v>
      </c>
    </row>
    <row r="609" spans="1:4" ht="15" customHeight="1">
      <c r="A609" s="9"/>
      <c r="B609" s="24" t="s">
        <v>2632</v>
      </c>
      <c r="C609" s="30" t="s">
        <v>2608</v>
      </c>
      <c r="D609" s="14" t="s">
        <v>2633</v>
      </c>
    </row>
    <row r="610" spans="1:4" ht="15" customHeight="1">
      <c r="A610" s="9"/>
      <c r="B610" s="24" t="s">
        <v>2646</v>
      </c>
      <c r="C610" s="30" t="s">
        <v>2609</v>
      </c>
      <c r="D610" s="14" t="s">
        <v>424</v>
      </c>
    </row>
    <row r="611" spans="1:4" ht="15" customHeight="1">
      <c r="A611" s="9"/>
      <c r="B611" s="24" t="s">
        <v>2617</v>
      </c>
      <c r="C611" s="36">
        <v>1</v>
      </c>
      <c r="D611" s="14" t="s">
        <v>2293</v>
      </c>
    </row>
    <row r="612" spans="1:4" ht="15" customHeight="1">
      <c r="A612" s="9"/>
      <c r="B612" s="24" t="s">
        <v>2618</v>
      </c>
      <c r="C612" s="36">
        <v>1</v>
      </c>
      <c r="D612" s="14" t="s">
        <v>2317</v>
      </c>
    </row>
    <row r="613" spans="1:4" ht="15" customHeight="1">
      <c r="A613" s="9"/>
      <c r="B613" s="24" t="s">
        <v>2619</v>
      </c>
      <c r="C613" s="36">
        <v>4</v>
      </c>
      <c r="D613" s="14" t="s">
        <v>2565</v>
      </c>
    </row>
    <row r="614" spans="1:4" ht="15" customHeight="1">
      <c r="A614" s="9"/>
      <c r="B614" s="24" t="s">
        <v>2639</v>
      </c>
      <c r="C614" s="36">
        <v>1</v>
      </c>
      <c r="D614" s="14" t="s">
        <v>2601</v>
      </c>
    </row>
    <row r="615" spans="1:4" ht="15" customHeight="1">
      <c r="A615" s="9"/>
      <c r="B615" s="24" t="s">
        <v>2641</v>
      </c>
      <c r="C615" s="36">
        <v>2</v>
      </c>
      <c r="D615" s="14" t="s">
        <v>557</v>
      </c>
    </row>
    <row r="616" spans="1:4" ht="14.25" customHeight="1">
      <c r="A616" s="9"/>
      <c r="B616" s="24" t="s">
        <v>2621</v>
      </c>
      <c r="C616" s="36">
        <v>4</v>
      </c>
      <c r="D616" s="14" t="s">
        <v>1107</v>
      </c>
    </row>
    <row r="617" spans="1:4" ht="19.5" customHeight="1">
      <c r="A617" s="9"/>
      <c r="B617" s="24" t="s">
        <v>2640</v>
      </c>
      <c r="C617" s="36">
        <v>3</v>
      </c>
      <c r="D617" s="14" t="s">
        <v>1113</v>
      </c>
    </row>
    <row r="618" spans="1:4" ht="14.25" customHeight="1">
      <c r="A618" s="9"/>
      <c r="B618" s="24" t="s">
        <v>2642</v>
      </c>
      <c r="C618" s="36" t="s">
        <v>2656</v>
      </c>
      <c r="D618" s="14" t="s">
        <v>653</v>
      </c>
    </row>
    <row r="619" spans="1:4" ht="15" customHeight="1">
      <c r="A619" s="9"/>
      <c r="B619" s="24" t="s">
        <v>2568</v>
      </c>
      <c r="C619" s="30" t="s">
        <v>2623</v>
      </c>
      <c r="D619" s="14" t="s">
        <v>2569</v>
      </c>
    </row>
    <row r="620" spans="1:4" ht="15" customHeight="1">
      <c r="A620" s="9"/>
      <c r="B620" s="24" t="s">
        <v>2624</v>
      </c>
      <c r="C620" s="36">
        <v>2</v>
      </c>
      <c r="D620" s="14" t="s">
        <v>1179</v>
      </c>
    </row>
    <row r="621" spans="1:4" ht="16.5" customHeight="1">
      <c r="A621" s="9"/>
      <c r="B621" s="24" t="s">
        <v>2625</v>
      </c>
      <c r="C621" s="36">
        <v>2</v>
      </c>
      <c r="D621" s="14" t="s">
        <v>2571</v>
      </c>
    </row>
    <row r="622" spans="1:4" ht="15" customHeight="1">
      <c r="A622" s="9"/>
      <c r="B622" s="31" t="s">
        <v>2626</v>
      </c>
      <c r="C622" s="32" t="s">
        <v>2623</v>
      </c>
      <c r="D622" s="14" t="s">
        <v>1181</v>
      </c>
    </row>
    <row r="623" spans="1:4" ht="19.5" customHeight="1">
      <c r="A623" s="9" t="s">
        <v>1304</v>
      </c>
      <c r="B623" s="33" t="s">
        <v>2611</v>
      </c>
      <c r="C623" s="34" t="s">
        <v>2608</v>
      </c>
      <c r="D623" s="14" t="s">
        <v>2148</v>
      </c>
    </row>
    <row r="624" spans="1:4" ht="19.5" customHeight="1">
      <c r="A624" s="9"/>
      <c r="B624" s="24" t="s">
        <v>2627</v>
      </c>
      <c r="C624" s="30" t="s">
        <v>2609</v>
      </c>
      <c r="D624" s="14" t="s">
        <v>2167</v>
      </c>
    </row>
    <row r="625" spans="1:4" ht="15" customHeight="1">
      <c r="A625" s="9"/>
      <c r="B625" s="24" t="s">
        <v>2657</v>
      </c>
      <c r="C625" s="30" t="s">
        <v>2608</v>
      </c>
      <c r="D625" s="14" t="s">
        <v>2134</v>
      </c>
    </row>
    <row r="626" spans="1:4" ht="15" customHeight="1">
      <c r="A626" s="9"/>
      <c r="B626" s="24" t="s">
        <v>420</v>
      </c>
      <c r="C626" s="30" t="s">
        <v>2609</v>
      </c>
      <c r="D626" s="14" t="s">
        <v>422</v>
      </c>
    </row>
    <row r="627" spans="1:4" ht="15" customHeight="1">
      <c r="A627" s="9"/>
      <c r="B627" s="24" t="s">
        <v>420</v>
      </c>
      <c r="C627" s="30" t="s">
        <v>2609</v>
      </c>
      <c r="D627" s="14" t="s">
        <v>422</v>
      </c>
    </row>
    <row r="628" spans="1:4" ht="15" customHeight="1">
      <c r="A628" s="9"/>
      <c r="B628" s="24" t="s">
        <v>420</v>
      </c>
      <c r="C628" s="30" t="s">
        <v>2608</v>
      </c>
      <c r="D628" s="14" t="s">
        <v>422</v>
      </c>
    </row>
    <row r="629" spans="1:4" ht="15" customHeight="1">
      <c r="A629" s="9"/>
      <c r="B629" s="24" t="s">
        <v>2658</v>
      </c>
      <c r="C629" s="30" t="s">
        <v>2608</v>
      </c>
      <c r="D629" s="14" t="s">
        <v>404</v>
      </c>
    </row>
    <row r="630" spans="1:4" ht="15" customHeight="1">
      <c r="A630" s="9"/>
      <c r="B630" s="24" t="s">
        <v>2637</v>
      </c>
      <c r="C630" s="30" t="s">
        <v>2608</v>
      </c>
      <c r="D630" s="14" t="s">
        <v>2180</v>
      </c>
    </row>
    <row r="631" spans="1:4" ht="15" customHeight="1">
      <c r="A631" s="9"/>
      <c r="B631" s="24" t="s">
        <v>2638</v>
      </c>
      <c r="C631" s="30" t="s">
        <v>2608</v>
      </c>
      <c r="D631" s="14" t="s">
        <v>1898</v>
      </c>
    </row>
    <row r="632" spans="1:4" ht="15" customHeight="1">
      <c r="A632" s="9"/>
      <c r="B632" s="24" t="s">
        <v>2659</v>
      </c>
      <c r="C632" s="30" t="s">
        <v>2608</v>
      </c>
      <c r="D632" s="14" t="s">
        <v>2188</v>
      </c>
    </row>
    <row r="633" spans="1:4" ht="15" customHeight="1">
      <c r="A633" s="9"/>
      <c r="B633" s="24" t="s">
        <v>2610</v>
      </c>
      <c r="C633" s="30" t="s">
        <v>2608</v>
      </c>
      <c r="D633" s="14" t="s">
        <v>2184</v>
      </c>
    </row>
    <row r="634" spans="1:4" ht="15" customHeight="1">
      <c r="A634" s="9"/>
      <c r="B634" s="24" t="s">
        <v>2613</v>
      </c>
      <c r="C634" s="30" t="s">
        <v>2608</v>
      </c>
      <c r="D634" s="14" t="s">
        <v>2614</v>
      </c>
    </row>
    <row r="635" spans="1:4" ht="15" customHeight="1">
      <c r="A635" s="9"/>
      <c r="B635" s="24" t="s">
        <v>2662</v>
      </c>
      <c r="C635" s="30" t="s">
        <v>2608</v>
      </c>
      <c r="D635" s="14" t="s">
        <v>2174</v>
      </c>
    </row>
    <row r="636" spans="1:4" ht="15" customHeight="1">
      <c r="A636" s="9"/>
      <c r="B636" s="24" t="s">
        <v>2646</v>
      </c>
      <c r="C636" s="30" t="s">
        <v>2609</v>
      </c>
      <c r="D636" s="14" t="s">
        <v>424</v>
      </c>
    </row>
    <row r="637" spans="1:4" ht="15" customHeight="1">
      <c r="A637" s="9"/>
      <c r="B637" s="24" t="s">
        <v>2617</v>
      </c>
      <c r="C637" s="36">
        <v>1</v>
      </c>
      <c r="D637" s="14" t="s">
        <v>2293</v>
      </c>
    </row>
    <row r="638" spans="1:4" ht="15" customHeight="1">
      <c r="A638" s="9"/>
      <c r="B638" s="24" t="s">
        <v>2618</v>
      </c>
      <c r="C638" s="36">
        <v>1</v>
      </c>
      <c r="D638" s="14" t="s">
        <v>2317</v>
      </c>
    </row>
    <row r="639" spans="1:4" ht="15" customHeight="1">
      <c r="A639" s="9"/>
      <c r="B639" s="24" t="s">
        <v>2639</v>
      </c>
      <c r="C639" s="36">
        <v>1</v>
      </c>
      <c r="D639" s="14" t="s">
        <v>2601</v>
      </c>
    </row>
    <row r="640" spans="1:4" ht="15" customHeight="1">
      <c r="A640" s="9"/>
      <c r="B640" s="24" t="s">
        <v>2619</v>
      </c>
      <c r="C640" s="36">
        <v>4</v>
      </c>
      <c r="D640" s="14" t="s">
        <v>2565</v>
      </c>
    </row>
    <row r="641" spans="1:4" ht="15" customHeight="1">
      <c r="A641" s="9"/>
      <c r="B641" s="24" t="s">
        <v>2641</v>
      </c>
      <c r="C641" s="36">
        <v>2</v>
      </c>
      <c r="D641" s="14" t="s">
        <v>557</v>
      </c>
    </row>
    <row r="642" spans="1:4" ht="15" customHeight="1">
      <c r="A642" s="9"/>
      <c r="B642" s="24" t="s">
        <v>2621</v>
      </c>
      <c r="C642" s="36">
        <v>4</v>
      </c>
      <c r="D642" s="14" t="s">
        <v>1107</v>
      </c>
    </row>
    <row r="643" spans="1:4" ht="15" customHeight="1">
      <c r="A643" s="9"/>
      <c r="B643" s="24" t="s">
        <v>2640</v>
      </c>
      <c r="C643" s="36">
        <v>3</v>
      </c>
      <c r="D643" s="14" t="s">
        <v>1113</v>
      </c>
    </row>
    <row r="644" spans="1:4" ht="15" customHeight="1">
      <c r="A644" s="9"/>
      <c r="B644" s="24" t="s">
        <v>2622</v>
      </c>
      <c r="C644" s="36" t="s">
        <v>2656</v>
      </c>
      <c r="D644" s="14" t="s">
        <v>651</v>
      </c>
    </row>
    <row r="645" spans="1:4" ht="15" customHeight="1">
      <c r="A645" s="9"/>
      <c r="B645" s="24" t="s">
        <v>2568</v>
      </c>
      <c r="C645" s="30" t="s">
        <v>2623</v>
      </c>
      <c r="D645" s="14" t="s">
        <v>2569</v>
      </c>
    </row>
    <row r="646" spans="1:4" ht="14.25" customHeight="1">
      <c r="A646" s="9"/>
      <c r="B646" s="24" t="s">
        <v>2624</v>
      </c>
      <c r="C646" s="36">
        <v>2</v>
      </c>
      <c r="D646" s="14" t="s">
        <v>1179</v>
      </c>
    </row>
    <row r="647" spans="1:4" ht="14.25" customHeight="1">
      <c r="A647" s="9"/>
      <c r="B647" s="24" t="s">
        <v>2625</v>
      </c>
      <c r="C647" s="36">
        <v>2</v>
      </c>
      <c r="D647" s="14" t="s">
        <v>2571</v>
      </c>
    </row>
    <row r="648" spans="1:4" ht="14.25" customHeight="1">
      <c r="A648" s="9"/>
      <c r="B648" s="31" t="s">
        <v>2626</v>
      </c>
      <c r="C648" s="32" t="s">
        <v>2623</v>
      </c>
      <c r="D648" s="14" t="s">
        <v>1181</v>
      </c>
    </row>
    <row r="649" spans="1:4" ht="19.5" customHeight="1">
      <c r="A649" s="9" t="s">
        <v>1306</v>
      </c>
      <c r="B649" s="33" t="s">
        <v>2630</v>
      </c>
      <c r="C649" s="34" t="s">
        <v>2608</v>
      </c>
      <c r="D649" s="14" t="s">
        <v>2151</v>
      </c>
    </row>
    <row r="650" spans="1:4" ht="19.5" customHeight="1">
      <c r="A650" s="9"/>
      <c r="B650" s="24" t="s">
        <v>2631</v>
      </c>
      <c r="C650" s="30" t="s">
        <v>2609</v>
      </c>
      <c r="D650" s="14" t="s">
        <v>2170</v>
      </c>
    </row>
    <row r="651" spans="1:4" ht="19.5" customHeight="1">
      <c r="A651" s="9"/>
      <c r="B651" s="24" t="s">
        <v>2657</v>
      </c>
      <c r="C651" s="30" t="s">
        <v>2608</v>
      </c>
      <c r="D651" s="14" t="s">
        <v>2134</v>
      </c>
    </row>
    <row r="652" spans="1:4" ht="19.5" customHeight="1">
      <c r="A652" s="9"/>
      <c r="B652" s="24" t="s">
        <v>420</v>
      </c>
      <c r="C652" s="30" t="s">
        <v>2609</v>
      </c>
      <c r="D652" s="14" t="s">
        <v>422</v>
      </c>
    </row>
    <row r="653" spans="1:4" ht="19.5" customHeight="1">
      <c r="A653" s="9"/>
      <c r="B653" s="24" t="s">
        <v>420</v>
      </c>
      <c r="C653" s="30" t="s">
        <v>2609</v>
      </c>
      <c r="D653" s="14" t="s">
        <v>422</v>
      </c>
    </row>
    <row r="654" spans="1:4" ht="19.5" customHeight="1">
      <c r="A654" s="9"/>
      <c r="B654" s="24" t="s">
        <v>420</v>
      </c>
      <c r="C654" s="30" t="s">
        <v>2609</v>
      </c>
      <c r="D654" s="14" t="s">
        <v>422</v>
      </c>
    </row>
    <row r="655" spans="1:4" ht="19.5" customHeight="1">
      <c r="A655" s="9"/>
      <c r="B655" s="24" t="s">
        <v>2658</v>
      </c>
      <c r="C655" s="30" t="s">
        <v>2608</v>
      </c>
      <c r="D655" s="14" t="s">
        <v>404</v>
      </c>
    </row>
    <row r="656" spans="1:4" ht="19.5" customHeight="1">
      <c r="A656" s="9"/>
      <c r="B656" s="24" t="s">
        <v>2663</v>
      </c>
      <c r="C656" s="30" t="s">
        <v>2608</v>
      </c>
      <c r="D656" s="14" t="s">
        <v>2180</v>
      </c>
    </row>
    <row r="657" spans="1:4" ht="15" customHeight="1">
      <c r="A657" s="9"/>
      <c r="B657" s="24" t="s">
        <v>2638</v>
      </c>
      <c r="C657" s="30" t="s">
        <v>2608</v>
      </c>
      <c r="D657" s="14" t="s">
        <v>1898</v>
      </c>
    </row>
    <row r="658" spans="1:4" ht="15" customHeight="1">
      <c r="A658" s="9"/>
      <c r="B658" s="24" t="s">
        <v>2659</v>
      </c>
      <c r="C658" s="30" t="s">
        <v>2608</v>
      </c>
      <c r="D658" s="14" t="s">
        <v>2188</v>
      </c>
    </row>
    <row r="659" spans="1:4" ht="15" customHeight="1">
      <c r="A659" s="9"/>
      <c r="B659" s="24" t="s">
        <v>2610</v>
      </c>
      <c r="C659" s="30" t="s">
        <v>2608</v>
      </c>
      <c r="D659" s="14" t="s">
        <v>2184</v>
      </c>
    </row>
    <row r="660" spans="1:4" ht="15" customHeight="1">
      <c r="A660" s="9"/>
      <c r="B660" s="24" t="s">
        <v>2613</v>
      </c>
      <c r="C660" s="30" t="s">
        <v>2608</v>
      </c>
      <c r="D660" s="14" t="s">
        <v>2614</v>
      </c>
    </row>
    <row r="661" spans="1:4" ht="15" customHeight="1">
      <c r="A661" s="9"/>
      <c r="B661" s="24" t="s">
        <v>2632</v>
      </c>
      <c r="C661" s="30" t="s">
        <v>2608</v>
      </c>
      <c r="D661" s="14" t="s">
        <v>2633</v>
      </c>
    </row>
    <row r="662" spans="1:4" ht="15" customHeight="1">
      <c r="A662" s="9"/>
      <c r="B662" s="24" t="s">
        <v>2634</v>
      </c>
      <c r="C662" s="30" t="s">
        <v>2609</v>
      </c>
      <c r="D662" s="14" t="s">
        <v>424</v>
      </c>
    </row>
    <row r="663" spans="1:4" ht="15" customHeight="1">
      <c r="A663" s="9"/>
      <c r="B663" s="24" t="s">
        <v>2617</v>
      </c>
      <c r="C663" s="36">
        <v>1</v>
      </c>
      <c r="D663" s="14" t="s">
        <v>2293</v>
      </c>
    </row>
    <row r="664" spans="1:4" ht="15" customHeight="1">
      <c r="A664" s="9"/>
      <c r="B664" s="24" t="s">
        <v>2618</v>
      </c>
      <c r="C664" s="36">
        <v>1</v>
      </c>
      <c r="D664" s="14" t="s">
        <v>2317</v>
      </c>
    </row>
    <row r="665" spans="1:4" ht="15" customHeight="1">
      <c r="A665" s="9"/>
      <c r="B665" s="24" t="s">
        <v>2619</v>
      </c>
      <c r="C665" s="36">
        <v>4</v>
      </c>
      <c r="D665" s="14" t="s">
        <v>2565</v>
      </c>
    </row>
    <row r="666" spans="1:4" ht="15" customHeight="1">
      <c r="A666" s="9"/>
      <c r="B666" s="24" t="s">
        <v>2641</v>
      </c>
      <c r="C666" s="36">
        <v>2</v>
      </c>
      <c r="D666" s="14" t="s">
        <v>557</v>
      </c>
    </row>
    <row r="667" spans="1:4" ht="15" customHeight="1">
      <c r="A667" s="9"/>
      <c r="B667" s="24" t="s">
        <v>2639</v>
      </c>
      <c r="C667" s="36">
        <v>1</v>
      </c>
      <c r="D667" s="14" t="s">
        <v>2601</v>
      </c>
    </row>
    <row r="668" spans="1:4" ht="15" customHeight="1">
      <c r="A668" s="9"/>
      <c r="B668" s="24" t="s">
        <v>2640</v>
      </c>
      <c r="C668" s="36">
        <v>3</v>
      </c>
      <c r="D668" s="14" t="s">
        <v>1113</v>
      </c>
    </row>
    <row r="669" spans="1:4" ht="15" customHeight="1">
      <c r="A669" s="9"/>
      <c r="B669" s="24" t="s">
        <v>2621</v>
      </c>
      <c r="C669" s="36">
        <v>4</v>
      </c>
      <c r="D669" s="14" t="s">
        <v>1107</v>
      </c>
    </row>
    <row r="670" spans="1:4" ht="16.5" customHeight="1">
      <c r="A670" s="9"/>
      <c r="B670" s="24" t="s">
        <v>2642</v>
      </c>
      <c r="C670" s="36" t="s">
        <v>2656</v>
      </c>
      <c r="D670" s="14" t="s">
        <v>653</v>
      </c>
    </row>
    <row r="671" spans="1:4" ht="19.5" customHeight="1">
      <c r="A671" s="9"/>
      <c r="B671" s="24" t="s">
        <v>2568</v>
      </c>
      <c r="C671" s="30" t="s">
        <v>2623</v>
      </c>
      <c r="D671" s="14" t="s">
        <v>2569</v>
      </c>
    </row>
    <row r="672" spans="1:4" ht="19.5" customHeight="1">
      <c r="A672" s="9"/>
      <c r="B672" s="24" t="s">
        <v>2624</v>
      </c>
      <c r="C672" s="36">
        <v>2</v>
      </c>
      <c r="D672" s="14" t="s">
        <v>1179</v>
      </c>
    </row>
    <row r="673" spans="1:4" ht="15" customHeight="1">
      <c r="A673" s="9"/>
      <c r="B673" s="24" t="s">
        <v>2625</v>
      </c>
      <c r="C673" s="36">
        <v>2</v>
      </c>
      <c r="D673" s="14" t="s">
        <v>2571</v>
      </c>
    </row>
    <row r="674" spans="1:4" ht="15" customHeight="1">
      <c r="A674" s="9"/>
      <c r="B674" s="31" t="s">
        <v>2626</v>
      </c>
      <c r="C674" s="32" t="s">
        <v>2623</v>
      </c>
      <c r="D674" s="14" t="s">
        <v>1181</v>
      </c>
    </row>
    <row r="675" spans="1:4" ht="15" customHeight="1">
      <c r="A675" s="10" t="s">
        <v>1308</v>
      </c>
      <c r="B675" s="24" t="s">
        <v>2607</v>
      </c>
      <c r="C675" s="30" t="s">
        <v>2608</v>
      </c>
      <c r="D675" s="14" t="s">
        <v>2144</v>
      </c>
    </row>
    <row r="676" spans="1:4" ht="15" customHeight="1">
      <c r="A676" s="10"/>
      <c r="B676" s="24" t="s">
        <v>420</v>
      </c>
      <c r="C676" s="30" t="s">
        <v>2609</v>
      </c>
      <c r="D676" s="14" t="s">
        <v>422</v>
      </c>
    </row>
    <row r="677" spans="1:4" ht="15" customHeight="1">
      <c r="A677" s="10"/>
      <c r="B677" s="24" t="s">
        <v>2610</v>
      </c>
      <c r="C677" s="30" t="s">
        <v>2608</v>
      </c>
      <c r="D677" s="14" t="s">
        <v>2184</v>
      </c>
    </row>
    <row r="678" spans="1:4" ht="15" customHeight="1">
      <c r="A678" s="10"/>
      <c r="B678" s="24" t="s">
        <v>2611</v>
      </c>
      <c r="C678" s="30" t="s">
        <v>2608</v>
      </c>
      <c r="D678" s="14" t="s">
        <v>2148</v>
      </c>
    </row>
    <row r="679" spans="1:4" ht="15" customHeight="1">
      <c r="A679" s="10"/>
      <c r="B679" s="24" t="s">
        <v>420</v>
      </c>
      <c r="C679" s="30" t="s">
        <v>2609</v>
      </c>
      <c r="D679" s="14" t="s">
        <v>422</v>
      </c>
    </row>
    <row r="680" spans="1:4" ht="15" customHeight="1">
      <c r="A680" s="10"/>
      <c r="B680" s="24" t="s">
        <v>2612</v>
      </c>
      <c r="C680" s="30" t="s">
        <v>2608</v>
      </c>
      <c r="D680" s="14" t="s">
        <v>2167</v>
      </c>
    </row>
    <row r="681" spans="1:4" ht="15" customHeight="1">
      <c r="A681" s="10"/>
      <c r="B681" s="24" t="s">
        <v>2664</v>
      </c>
      <c r="C681" s="30" t="s">
        <v>2608</v>
      </c>
      <c r="D681" s="14" t="s">
        <v>2579</v>
      </c>
    </row>
    <row r="682" spans="1:4" ht="15" customHeight="1">
      <c r="A682" s="10"/>
      <c r="B682" s="24" t="s">
        <v>2665</v>
      </c>
      <c r="C682" s="30" t="s">
        <v>2608</v>
      </c>
      <c r="D682" s="14" t="s">
        <v>2583</v>
      </c>
    </row>
    <row r="683" spans="1:4" ht="15" customHeight="1">
      <c r="A683" s="10"/>
      <c r="B683" s="24" t="s">
        <v>2613</v>
      </c>
      <c r="C683" s="30" t="s">
        <v>2608</v>
      </c>
      <c r="D683" s="14" t="s">
        <v>2614</v>
      </c>
    </row>
    <row r="684" spans="1:4" ht="15" customHeight="1">
      <c r="A684" s="10"/>
      <c r="B684" s="24" t="s">
        <v>2615</v>
      </c>
      <c r="C684" s="30" t="s">
        <v>2608</v>
      </c>
      <c r="D684" s="14" t="s">
        <v>2174</v>
      </c>
    </row>
    <row r="685" spans="1:4" ht="15" customHeight="1">
      <c r="A685" s="10"/>
      <c r="B685" s="24" t="s">
        <v>2616</v>
      </c>
      <c r="C685" s="30" t="s">
        <v>2609</v>
      </c>
      <c r="D685" s="14" t="s">
        <v>424</v>
      </c>
    </row>
    <row r="686" spans="1:4" ht="15" customHeight="1">
      <c r="A686" s="10"/>
      <c r="B686" s="24" t="s">
        <v>2617</v>
      </c>
      <c r="C686" s="36">
        <v>1</v>
      </c>
      <c r="D686" s="14" t="s">
        <v>2293</v>
      </c>
    </row>
    <row r="687" spans="1:4" ht="15" customHeight="1">
      <c r="A687" s="10"/>
      <c r="B687" s="24" t="s">
        <v>2618</v>
      </c>
      <c r="C687" s="36">
        <v>2</v>
      </c>
      <c r="D687" s="14" t="s">
        <v>2317</v>
      </c>
    </row>
    <row r="688" spans="1:4" ht="15" customHeight="1">
      <c r="A688" s="10"/>
      <c r="B688" s="24" t="s">
        <v>2619</v>
      </c>
      <c r="C688" s="36">
        <v>4</v>
      </c>
      <c r="D688" s="14" t="s">
        <v>2565</v>
      </c>
    </row>
    <row r="689" spans="1:4" ht="15" customHeight="1">
      <c r="A689" s="10"/>
      <c r="B689" s="24" t="s">
        <v>2620</v>
      </c>
      <c r="C689" s="36">
        <v>3</v>
      </c>
      <c r="D689" s="14" t="s">
        <v>547</v>
      </c>
    </row>
    <row r="690" spans="1:4" ht="19.5" customHeight="1">
      <c r="A690" s="10"/>
      <c r="B690" s="24" t="s">
        <v>2621</v>
      </c>
      <c r="C690" s="36">
        <v>6</v>
      </c>
      <c r="D690" s="14" t="s">
        <v>1107</v>
      </c>
    </row>
    <row r="691" spans="1:4" ht="15" customHeight="1">
      <c r="A691" s="10"/>
      <c r="B691" s="24" t="s">
        <v>2622</v>
      </c>
      <c r="C691" s="36">
        <v>2</v>
      </c>
      <c r="D691" s="14" t="s">
        <v>651</v>
      </c>
    </row>
    <row r="692" spans="1:4" ht="16.5" customHeight="1">
      <c r="A692" s="10"/>
      <c r="B692" s="24" t="s">
        <v>2568</v>
      </c>
      <c r="C692" s="30" t="s">
        <v>2623</v>
      </c>
      <c r="D692" s="14" t="s">
        <v>2569</v>
      </c>
    </row>
    <row r="693" spans="1:4" ht="16.5" customHeight="1">
      <c r="A693" s="10"/>
      <c r="B693" s="24" t="s">
        <v>2624</v>
      </c>
      <c r="C693" s="36">
        <v>4</v>
      </c>
      <c r="D693" s="14" t="s">
        <v>1179</v>
      </c>
    </row>
    <row r="694" spans="1:4" ht="12.75" customHeight="1">
      <c r="A694" s="10"/>
      <c r="B694" s="24" t="s">
        <v>2625</v>
      </c>
      <c r="C694" s="36">
        <v>4</v>
      </c>
      <c r="D694" s="14" t="s">
        <v>2571</v>
      </c>
    </row>
    <row r="695" spans="1:4" ht="19.5" customHeight="1">
      <c r="A695" s="10"/>
      <c r="B695" s="31" t="s">
        <v>2626</v>
      </c>
      <c r="C695" s="32" t="s">
        <v>2623</v>
      </c>
      <c r="D695" s="14" t="s">
        <v>1181</v>
      </c>
    </row>
    <row r="696" spans="1:4" ht="19.5" customHeight="1">
      <c r="A696" s="9" t="s">
        <v>1312</v>
      </c>
      <c r="B696" s="33" t="s">
        <v>2611</v>
      </c>
      <c r="C696" s="34" t="s">
        <v>2608</v>
      </c>
      <c r="D696" s="14" t="s">
        <v>2148</v>
      </c>
    </row>
    <row r="697" spans="1:4" ht="19.5" customHeight="1">
      <c r="A697" s="9"/>
      <c r="B697" s="24" t="s">
        <v>2627</v>
      </c>
      <c r="C697" s="30" t="s">
        <v>2609</v>
      </c>
      <c r="D697" s="14" t="s">
        <v>2167</v>
      </c>
    </row>
    <row r="698" spans="1:4" ht="19.5" customHeight="1">
      <c r="A698" s="9"/>
      <c r="B698" s="24" t="s">
        <v>2628</v>
      </c>
      <c r="C698" s="30" t="s">
        <v>2608</v>
      </c>
      <c r="D698" s="14" t="s">
        <v>2140</v>
      </c>
    </row>
    <row r="699" spans="1:4" ht="19.5" customHeight="1">
      <c r="A699" s="9"/>
      <c r="B699" s="24" t="s">
        <v>420</v>
      </c>
      <c r="C699" s="30" t="s">
        <v>2609</v>
      </c>
      <c r="D699" s="14" t="s">
        <v>422</v>
      </c>
    </row>
    <row r="700" spans="1:4" ht="19.5" customHeight="1">
      <c r="A700" s="9"/>
      <c r="B700" s="24" t="s">
        <v>420</v>
      </c>
      <c r="C700" s="30" t="s">
        <v>2608</v>
      </c>
      <c r="D700" s="14" t="s">
        <v>422</v>
      </c>
    </row>
    <row r="701" spans="1:4" ht="19.5" customHeight="1">
      <c r="A701" s="9"/>
      <c r="B701" s="24" t="s">
        <v>2664</v>
      </c>
      <c r="C701" s="30" t="s">
        <v>2608</v>
      </c>
      <c r="D701" s="14" t="s">
        <v>2579</v>
      </c>
    </row>
    <row r="702" spans="1:4" ht="19.5" customHeight="1">
      <c r="A702" s="9"/>
      <c r="B702" s="24" t="s">
        <v>2665</v>
      </c>
      <c r="C702" s="30" t="s">
        <v>2608</v>
      </c>
      <c r="D702" s="14" t="s">
        <v>2583</v>
      </c>
    </row>
    <row r="703" spans="1:4" ht="19.5" customHeight="1">
      <c r="A703" s="9"/>
      <c r="B703" s="24" t="s">
        <v>2610</v>
      </c>
      <c r="C703" s="30" t="s">
        <v>2608</v>
      </c>
      <c r="D703" s="14" t="s">
        <v>2184</v>
      </c>
    </row>
    <row r="704" spans="1:4" ht="19.5" customHeight="1">
      <c r="A704" s="9"/>
      <c r="B704" s="24" t="s">
        <v>2613</v>
      </c>
      <c r="C704" s="30" t="s">
        <v>2608</v>
      </c>
      <c r="D704" s="14" t="s">
        <v>2614</v>
      </c>
    </row>
    <row r="705" spans="1:4" ht="19.5" customHeight="1">
      <c r="A705" s="9"/>
      <c r="B705" s="24" t="s">
        <v>2615</v>
      </c>
      <c r="C705" s="30" t="s">
        <v>2608</v>
      </c>
      <c r="D705" s="14" t="s">
        <v>2174</v>
      </c>
    </row>
    <row r="706" spans="1:4" ht="19.5" customHeight="1">
      <c r="A706" s="9"/>
      <c r="B706" s="24" t="s">
        <v>2616</v>
      </c>
      <c r="C706" s="30" t="s">
        <v>2609</v>
      </c>
      <c r="D706" s="14" t="s">
        <v>424</v>
      </c>
    </row>
    <row r="707" spans="1:4" ht="19.5" customHeight="1">
      <c r="A707" s="9"/>
      <c r="B707" s="24" t="s">
        <v>2617</v>
      </c>
      <c r="C707" s="36">
        <v>1</v>
      </c>
      <c r="D707" s="14" t="s">
        <v>2293</v>
      </c>
    </row>
    <row r="708" spans="1:4" ht="19.5" customHeight="1">
      <c r="A708" s="9"/>
      <c r="B708" s="24" t="s">
        <v>2618</v>
      </c>
      <c r="C708" s="36">
        <v>2</v>
      </c>
      <c r="D708" s="14" t="s">
        <v>2317</v>
      </c>
    </row>
    <row r="709" spans="1:4" ht="19.5" customHeight="1">
      <c r="A709" s="9"/>
      <c r="B709" s="24" t="s">
        <v>2619</v>
      </c>
      <c r="C709" s="36">
        <v>4</v>
      </c>
      <c r="D709" s="14" t="s">
        <v>2565</v>
      </c>
    </row>
    <row r="710" spans="1:4" ht="19.5" customHeight="1">
      <c r="A710" s="9"/>
      <c r="B710" s="24" t="s">
        <v>2620</v>
      </c>
      <c r="C710" s="36">
        <v>3</v>
      </c>
      <c r="D710" s="14" t="s">
        <v>547</v>
      </c>
    </row>
    <row r="711" spans="1:4" ht="19.5" customHeight="1">
      <c r="A711" s="9"/>
      <c r="B711" s="24" t="s">
        <v>2621</v>
      </c>
      <c r="C711" s="36">
        <v>6</v>
      </c>
      <c r="D711" s="14" t="s">
        <v>1107</v>
      </c>
    </row>
    <row r="712" spans="1:4" ht="19.5" customHeight="1">
      <c r="A712" s="9"/>
      <c r="B712" s="24" t="s">
        <v>2622</v>
      </c>
      <c r="C712" s="36">
        <v>2</v>
      </c>
      <c r="D712" s="14" t="s">
        <v>651</v>
      </c>
    </row>
    <row r="713" spans="1:4" ht="19.5" customHeight="1">
      <c r="A713" s="9"/>
      <c r="B713" s="24" t="s">
        <v>2568</v>
      </c>
      <c r="C713" s="30" t="s">
        <v>2623</v>
      </c>
      <c r="D713" s="14" t="s">
        <v>2569</v>
      </c>
    </row>
    <row r="714" spans="1:4" ht="19.5" customHeight="1">
      <c r="A714" s="9"/>
      <c r="B714" s="24" t="s">
        <v>2624</v>
      </c>
      <c r="C714" s="36">
        <v>4</v>
      </c>
      <c r="D714" s="14" t="s">
        <v>1179</v>
      </c>
    </row>
    <row r="715" spans="1:4" ht="19.5" customHeight="1">
      <c r="A715" s="9"/>
      <c r="B715" s="24" t="s">
        <v>2625</v>
      </c>
      <c r="C715" s="36">
        <v>4</v>
      </c>
      <c r="D715" s="14" t="s">
        <v>2571</v>
      </c>
    </row>
    <row r="716" spans="1:4" ht="19.5" customHeight="1">
      <c r="A716" s="9"/>
      <c r="B716" s="31" t="s">
        <v>2626</v>
      </c>
      <c r="C716" s="32" t="s">
        <v>2623</v>
      </c>
      <c r="D716" s="14" t="s">
        <v>1181</v>
      </c>
    </row>
    <row r="717" spans="1:4" ht="19.5" customHeight="1">
      <c r="A717" s="9" t="s">
        <v>1314</v>
      </c>
      <c r="B717" s="33" t="s">
        <v>2630</v>
      </c>
      <c r="C717" s="34" t="s">
        <v>2608</v>
      </c>
      <c r="D717" s="14" t="s">
        <v>2151</v>
      </c>
    </row>
    <row r="718" spans="1:4" ht="19.5" customHeight="1">
      <c r="A718" s="9"/>
      <c r="B718" s="24" t="s">
        <v>2631</v>
      </c>
      <c r="C718" s="30" t="s">
        <v>2609</v>
      </c>
      <c r="D718" s="14" t="s">
        <v>2170</v>
      </c>
    </row>
    <row r="719" spans="1:4" ht="15" customHeight="1">
      <c r="A719" s="9"/>
      <c r="B719" s="24" t="s">
        <v>2628</v>
      </c>
      <c r="C719" s="30" t="s">
        <v>2608</v>
      </c>
      <c r="D719" s="14" t="s">
        <v>2140</v>
      </c>
    </row>
    <row r="720" spans="1:4" ht="15" customHeight="1">
      <c r="A720" s="9"/>
      <c r="B720" s="24" t="s">
        <v>420</v>
      </c>
      <c r="C720" s="30" t="s">
        <v>2609</v>
      </c>
      <c r="D720" s="14" t="s">
        <v>422</v>
      </c>
    </row>
    <row r="721" spans="1:4" ht="15" customHeight="1">
      <c r="A721" s="9"/>
      <c r="B721" s="24" t="s">
        <v>420</v>
      </c>
      <c r="C721" s="30" t="s">
        <v>2608</v>
      </c>
      <c r="D721" s="14" t="s">
        <v>422</v>
      </c>
    </row>
    <row r="722" spans="1:4" ht="15" customHeight="1">
      <c r="A722" s="9"/>
      <c r="B722" s="24" t="s">
        <v>2664</v>
      </c>
      <c r="C722" s="30" t="s">
        <v>2608</v>
      </c>
      <c r="D722" s="14" t="s">
        <v>2579</v>
      </c>
    </row>
    <row r="723" spans="1:4" ht="15" customHeight="1">
      <c r="A723" s="9"/>
      <c r="B723" s="24" t="s">
        <v>2665</v>
      </c>
      <c r="C723" s="30" t="s">
        <v>2608</v>
      </c>
      <c r="D723" s="14" t="s">
        <v>2583</v>
      </c>
    </row>
    <row r="724" spans="1:4" ht="15" customHeight="1">
      <c r="A724" s="9"/>
      <c r="B724" s="24" t="s">
        <v>2610</v>
      </c>
      <c r="C724" s="30" t="s">
        <v>2608</v>
      </c>
      <c r="D724" s="14" t="s">
        <v>2184</v>
      </c>
    </row>
    <row r="725" spans="1:4" ht="15" customHeight="1">
      <c r="A725" s="9"/>
      <c r="B725" s="24" t="s">
        <v>2613</v>
      </c>
      <c r="C725" s="30" t="s">
        <v>2608</v>
      </c>
      <c r="D725" s="14" t="s">
        <v>2614</v>
      </c>
    </row>
    <row r="726" spans="1:4" ht="15" customHeight="1">
      <c r="A726" s="9"/>
      <c r="B726" s="24" t="s">
        <v>2632</v>
      </c>
      <c r="C726" s="30" t="s">
        <v>2608</v>
      </c>
      <c r="D726" s="14" t="s">
        <v>2633</v>
      </c>
    </row>
    <row r="727" spans="1:4" ht="15" customHeight="1">
      <c r="A727" s="9"/>
      <c r="B727" s="24" t="s">
        <v>2634</v>
      </c>
      <c r="C727" s="30" t="s">
        <v>2609</v>
      </c>
      <c r="D727" s="14" t="s">
        <v>424</v>
      </c>
    </row>
    <row r="728" spans="1:4" ht="15" customHeight="1">
      <c r="A728" s="9"/>
      <c r="B728" s="24" t="s">
        <v>2617</v>
      </c>
      <c r="C728" s="36">
        <v>1</v>
      </c>
      <c r="D728" s="14" t="s">
        <v>2293</v>
      </c>
    </row>
    <row r="729" spans="1:4" ht="15" customHeight="1">
      <c r="A729" s="9"/>
      <c r="B729" s="24" t="s">
        <v>2618</v>
      </c>
      <c r="C729" s="36">
        <v>2</v>
      </c>
      <c r="D729" s="14" t="s">
        <v>2317</v>
      </c>
    </row>
    <row r="730" spans="1:4" ht="15" customHeight="1">
      <c r="A730" s="9"/>
      <c r="B730" s="24" t="s">
        <v>2619</v>
      </c>
      <c r="C730" s="36">
        <v>4</v>
      </c>
      <c r="D730" s="14" t="s">
        <v>2565</v>
      </c>
    </row>
    <row r="731" spans="1:4" ht="15" customHeight="1">
      <c r="A731" s="9"/>
      <c r="B731" s="24" t="s">
        <v>2620</v>
      </c>
      <c r="C731" s="36">
        <v>3</v>
      </c>
      <c r="D731" s="14" t="s">
        <v>547</v>
      </c>
    </row>
    <row r="732" spans="1:4" ht="15" customHeight="1">
      <c r="A732" s="9"/>
      <c r="B732" s="24" t="s">
        <v>2621</v>
      </c>
      <c r="C732" s="36">
        <v>6</v>
      </c>
      <c r="D732" s="14" t="s">
        <v>1107</v>
      </c>
    </row>
    <row r="733" spans="1:4" ht="19.5" customHeight="1">
      <c r="A733" s="9"/>
      <c r="B733" s="24" t="s">
        <v>2622</v>
      </c>
      <c r="C733" s="36">
        <v>2</v>
      </c>
      <c r="D733" s="14" t="s">
        <v>651</v>
      </c>
    </row>
    <row r="734" spans="1:4" ht="15" customHeight="1">
      <c r="A734" s="9"/>
      <c r="B734" s="24" t="s">
        <v>2568</v>
      </c>
      <c r="C734" s="30" t="s">
        <v>2623</v>
      </c>
      <c r="D734" s="14" t="s">
        <v>2569</v>
      </c>
    </row>
    <row r="735" spans="1:4" ht="15" customHeight="1">
      <c r="A735" s="9"/>
      <c r="B735" s="24" t="s">
        <v>2624</v>
      </c>
      <c r="C735" s="36">
        <v>4</v>
      </c>
      <c r="D735" s="14" t="s">
        <v>1179</v>
      </c>
    </row>
    <row r="736" spans="1:4" ht="15" customHeight="1">
      <c r="A736" s="9"/>
      <c r="B736" s="24" t="s">
        <v>2625</v>
      </c>
      <c r="C736" s="36">
        <v>4</v>
      </c>
      <c r="D736" s="14" t="s">
        <v>2571</v>
      </c>
    </row>
    <row r="737" spans="1:4" ht="19.5" customHeight="1">
      <c r="A737" s="9"/>
      <c r="B737" s="31" t="s">
        <v>2626</v>
      </c>
      <c r="C737" s="32" t="s">
        <v>2623</v>
      </c>
      <c r="D737" s="14" t="s">
        <v>1181</v>
      </c>
    </row>
    <row r="738" spans="1:4" ht="19.5" customHeight="1">
      <c r="A738" s="35"/>
      <c r="B738" s="24"/>
      <c r="C738" s="36"/>
      <c r="D738" s="14"/>
    </row>
    <row r="739" spans="1:4" ht="19.5" customHeight="1">
      <c r="A739" s="9" t="s">
        <v>1310</v>
      </c>
      <c r="B739" s="33" t="s">
        <v>2630</v>
      </c>
      <c r="C739" s="34" t="s">
        <v>2608</v>
      </c>
      <c r="D739" s="14" t="s">
        <v>2151</v>
      </c>
    </row>
    <row r="740" spans="1:4" ht="19.5" customHeight="1">
      <c r="A740" s="9"/>
      <c r="B740" s="24" t="s">
        <v>2631</v>
      </c>
      <c r="C740" s="30" t="s">
        <v>2609</v>
      </c>
      <c r="D740" s="14" t="s">
        <v>2170</v>
      </c>
    </row>
    <row r="741" spans="1:4" ht="19.5" customHeight="1">
      <c r="A741" s="9"/>
      <c r="B741" s="24" t="s">
        <v>2607</v>
      </c>
      <c r="C741" s="30" t="s">
        <v>2608</v>
      </c>
      <c r="D741" s="14" t="s">
        <v>2144</v>
      </c>
    </row>
    <row r="742" spans="1:4" ht="19.5" customHeight="1">
      <c r="A742" s="9"/>
      <c r="B742" s="24" t="s">
        <v>420</v>
      </c>
      <c r="C742" s="30" t="s">
        <v>2609</v>
      </c>
      <c r="D742" s="14" t="s">
        <v>422</v>
      </c>
    </row>
    <row r="743" spans="1:4" ht="19.5" customHeight="1">
      <c r="A743" s="9"/>
      <c r="B743" s="24" t="s">
        <v>420</v>
      </c>
      <c r="C743" s="30" t="s">
        <v>2608</v>
      </c>
      <c r="D743" s="14" t="s">
        <v>422</v>
      </c>
    </row>
    <row r="744" spans="1:4" ht="19.5" customHeight="1">
      <c r="A744" s="9"/>
      <c r="B744" s="24" t="s">
        <v>2664</v>
      </c>
      <c r="C744" s="30" t="s">
        <v>2608</v>
      </c>
      <c r="D744" s="14" t="s">
        <v>2579</v>
      </c>
    </row>
    <row r="745" spans="1:4" ht="19.5" customHeight="1">
      <c r="A745" s="9"/>
      <c r="B745" s="24" t="s">
        <v>2665</v>
      </c>
      <c r="C745" s="30" t="s">
        <v>2608</v>
      </c>
      <c r="D745" s="14" t="s">
        <v>2583</v>
      </c>
    </row>
    <row r="746" spans="1:4" ht="19.5" customHeight="1">
      <c r="A746" s="9"/>
      <c r="B746" s="24" t="s">
        <v>2610</v>
      </c>
      <c r="C746" s="30" t="s">
        <v>2608</v>
      </c>
      <c r="D746" s="14" t="s">
        <v>2184</v>
      </c>
    </row>
    <row r="747" spans="1:4" ht="19.5" customHeight="1">
      <c r="A747" s="9"/>
      <c r="B747" s="24" t="s">
        <v>2613</v>
      </c>
      <c r="C747" s="30" t="s">
        <v>2608</v>
      </c>
      <c r="D747" s="14" t="s">
        <v>2614</v>
      </c>
    </row>
    <row r="748" spans="1:4" ht="19.5" customHeight="1">
      <c r="A748" s="9"/>
      <c r="B748" s="24" t="s">
        <v>2632</v>
      </c>
      <c r="C748" s="30" t="s">
        <v>2608</v>
      </c>
      <c r="D748" s="14" t="s">
        <v>2633</v>
      </c>
    </row>
    <row r="749" spans="1:4" ht="19.5" customHeight="1">
      <c r="A749" s="9"/>
      <c r="B749" s="24" t="s">
        <v>2634</v>
      </c>
      <c r="C749" s="30" t="s">
        <v>2609</v>
      </c>
      <c r="D749" s="14" t="s">
        <v>424</v>
      </c>
    </row>
    <row r="750" spans="1:4" ht="19.5" customHeight="1">
      <c r="A750" s="9"/>
      <c r="B750" s="24" t="s">
        <v>2617</v>
      </c>
      <c r="C750" s="36">
        <v>1</v>
      </c>
      <c r="D750" s="14" t="s">
        <v>2293</v>
      </c>
    </row>
    <row r="751" spans="1:4" ht="19.5" customHeight="1">
      <c r="A751" s="9"/>
      <c r="B751" s="24" t="s">
        <v>2618</v>
      </c>
      <c r="C751" s="36">
        <v>2</v>
      </c>
      <c r="D751" s="14" t="s">
        <v>2317</v>
      </c>
    </row>
    <row r="752" spans="1:4" ht="19.5" customHeight="1">
      <c r="A752" s="9"/>
      <c r="B752" s="24" t="s">
        <v>2619</v>
      </c>
      <c r="C752" s="36">
        <v>4</v>
      </c>
      <c r="D752" s="14" t="s">
        <v>2565</v>
      </c>
    </row>
    <row r="753" spans="1:4" ht="19.5" customHeight="1">
      <c r="A753" s="9"/>
      <c r="B753" s="24" t="s">
        <v>2620</v>
      </c>
      <c r="C753" s="36">
        <v>3</v>
      </c>
      <c r="D753" s="14" t="s">
        <v>547</v>
      </c>
    </row>
    <row r="754" spans="1:4" ht="19.5" customHeight="1">
      <c r="A754" s="9"/>
      <c r="B754" s="24" t="s">
        <v>2621</v>
      </c>
      <c r="C754" s="36">
        <v>6</v>
      </c>
      <c r="D754" s="14" t="s">
        <v>1107</v>
      </c>
    </row>
    <row r="755" spans="1:4" ht="19.5" customHeight="1">
      <c r="A755" s="9"/>
      <c r="B755" s="24" t="s">
        <v>2622</v>
      </c>
      <c r="C755" s="36">
        <v>2</v>
      </c>
      <c r="D755" s="14" t="s">
        <v>651</v>
      </c>
    </row>
    <row r="756" spans="1:4" ht="19.5" customHeight="1">
      <c r="A756" s="9"/>
      <c r="B756" s="24" t="s">
        <v>2568</v>
      </c>
      <c r="C756" s="30" t="s">
        <v>2623</v>
      </c>
      <c r="D756" s="14" t="s">
        <v>2569</v>
      </c>
    </row>
    <row r="757" spans="1:4" ht="19.5" customHeight="1">
      <c r="A757" s="9"/>
      <c r="B757" s="24" t="s">
        <v>2624</v>
      </c>
      <c r="C757" s="36">
        <v>4</v>
      </c>
      <c r="D757" s="14" t="s">
        <v>1179</v>
      </c>
    </row>
    <row r="758" spans="1:4" ht="19.5" customHeight="1">
      <c r="A758" s="9"/>
      <c r="B758" s="24" t="s">
        <v>2625</v>
      </c>
      <c r="C758" s="36">
        <v>4</v>
      </c>
      <c r="D758" s="14" t="s">
        <v>2571</v>
      </c>
    </row>
    <row r="759" spans="1:4" ht="19.5" customHeight="1">
      <c r="A759" s="9"/>
      <c r="B759" s="31" t="s">
        <v>2626</v>
      </c>
      <c r="C759" s="32" t="s">
        <v>2623</v>
      </c>
      <c r="D759" s="14" t="s">
        <v>1181</v>
      </c>
    </row>
    <row r="760" spans="1:4" ht="15" customHeight="1">
      <c r="A760" s="9" t="s">
        <v>2666</v>
      </c>
      <c r="B760" s="33" t="s">
        <v>2611</v>
      </c>
      <c r="C760" s="34" t="s">
        <v>2608</v>
      </c>
      <c r="D760" s="14" t="s">
        <v>2148</v>
      </c>
    </row>
    <row r="761" spans="1:4" ht="15" customHeight="1">
      <c r="A761" s="9"/>
      <c r="B761" s="24" t="s">
        <v>2627</v>
      </c>
      <c r="C761" s="30" t="s">
        <v>2609</v>
      </c>
      <c r="D761" s="14" t="s">
        <v>2167</v>
      </c>
    </row>
    <row r="762" spans="1:4" ht="15" customHeight="1">
      <c r="A762" s="9"/>
      <c r="B762" s="24" t="s">
        <v>2635</v>
      </c>
      <c r="C762" s="30" t="s">
        <v>2608</v>
      </c>
      <c r="D762" s="14" t="s">
        <v>2134</v>
      </c>
    </row>
    <row r="763" spans="1:4" ht="15" customHeight="1">
      <c r="A763" s="9"/>
      <c r="B763" s="24" t="s">
        <v>420</v>
      </c>
      <c r="C763" s="30" t="s">
        <v>2609</v>
      </c>
      <c r="D763" s="14" t="s">
        <v>422</v>
      </c>
    </row>
    <row r="764" spans="1:4" ht="15" customHeight="1">
      <c r="A764" s="9"/>
      <c r="B764" s="24" t="s">
        <v>420</v>
      </c>
      <c r="C764" s="30" t="s">
        <v>2608</v>
      </c>
      <c r="D764" s="14" t="s">
        <v>422</v>
      </c>
    </row>
    <row r="765" spans="1:4" ht="15" customHeight="1">
      <c r="A765" s="9"/>
      <c r="B765" s="24" t="s">
        <v>2664</v>
      </c>
      <c r="C765" s="30" t="s">
        <v>2608</v>
      </c>
      <c r="D765" s="14" t="s">
        <v>2579</v>
      </c>
    </row>
    <row r="766" spans="1:4" ht="15" customHeight="1">
      <c r="A766" s="9"/>
      <c r="B766" s="24" t="s">
        <v>2665</v>
      </c>
      <c r="C766" s="30" t="s">
        <v>2608</v>
      </c>
      <c r="D766" s="14" t="s">
        <v>2583</v>
      </c>
    </row>
    <row r="767" spans="1:4" ht="15" customHeight="1">
      <c r="A767" s="9"/>
      <c r="B767" s="24" t="s">
        <v>2610</v>
      </c>
      <c r="C767" s="30" t="s">
        <v>2608</v>
      </c>
      <c r="D767" s="14" t="s">
        <v>2184</v>
      </c>
    </row>
    <row r="768" spans="1:4" ht="15" customHeight="1">
      <c r="A768" s="9"/>
      <c r="B768" s="24" t="s">
        <v>2613</v>
      </c>
      <c r="C768" s="30" t="s">
        <v>2608</v>
      </c>
      <c r="D768" s="14" t="s">
        <v>2614</v>
      </c>
    </row>
    <row r="769" spans="1:4" ht="15" customHeight="1">
      <c r="A769" s="9"/>
      <c r="B769" s="24" t="s">
        <v>2636</v>
      </c>
      <c r="C769" s="30" t="s">
        <v>2608</v>
      </c>
      <c r="D769" s="14" t="s">
        <v>2174</v>
      </c>
    </row>
    <row r="770" spans="1:4" ht="15" customHeight="1">
      <c r="A770" s="9"/>
      <c r="B770" s="24" t="s">
        <v>2616</v>
      </c>
      <c r="C770" s="30" t="s">
        <v>2609</v>
      </c>
      <c r="D770" s="14" t="s">
        <v>424</v>
      </c>
    </row>
    <row r="771" spans="1:4" ht="15" customHeight="1">
      <c r="A771" s="9"/>
      <c r="B771" s="24" t="s">
        <v>2617</v>
      </c>
      <c r="C771" s="36">
        <v>1</v>
      </c>
      <c r="D771" s="14" t="s">
        <v>2293</v>
      </c>
    </row>
    <row r="772" spans="1:4" ht="15" customHeight="1">
      <c r="A772" s="9"/>
      <c r="B772" s="24" t="s">
        <v>2618</v>
      </c>
      <c r="C772" s="36">
        <v>2</v>
      </c>
      <c r="D772" s="14" t="s">
        <v>2317</v>
      </c>
    </row>
    <row r="773" spans="1:4" ht="15" customHeight="1">
      <c r="A773" s="9"/>
      <c r="B773" s="24" t="s">
        <v>2619</v>
      </c>
      <c r="C773" s="36">
        <v>4</v>
      </c>
      <c r="D773" s="14" t="s">
        <v>2565</v>
      </c>
    </row>
    <row r="774" spans="1:4" ht="15" customHeight="1">
      <c r="A774" s="9"/>
      <c r="B774" s="24" t="s">
        <v>2620</v>
      </c>
      <c r="C774" s="36">
        <v>3</v>
      </c>
      <c r="D774" s="14" t="s">
        <v>547</v>
      </c>
    </row>
    <row r="775" spans="1:4" ht="15" customHeight="1">
      <c r="A775" s="9"/>
      <c r="B775" s="24" t="s">
        <v>2621</v>
      </c>
      <c r="C775" s="36">
        <v>6</v>
      </c>
      <c r="D775" s="14" t="s">
        <v>1107</v>
      </c>
    </row>
    <row r="776" spans="1:4" ht="19.5" customHeight="1">
      <c r="A776" s="9"/>
      <c r="B776" s="24" t="s">
        <v>2622</v>
      </c>
      <c r="C776" s="36">
        <v>2</v>
      </c>
      <c r="D776" s="14" t="s">
        <v>651</v>
      </c>
    </row>
    <row r="777" spans="1:4" ht="19.5" customHeight="1">
      <c r="A777" s="9"/>
      <c r="B777" s="24" t="s">
        <v>2568</v>
      </c>
      <c r="C777" s="30" t="s">
        <v>2623</v>
      </c>
      <c r="D777" s="14" t="s">
        <v>2569</v>
      </c>
    </row>
    <row r="778" spans="1:4" ht="19.5" customHeight="1">
      <c r="A778" s="9"/>
      <c r="B778" s="24" t="s">
        <v>2624</v>
      </c>
      <c r="C778" s="36">
        <v>4</v>
      </c>
      <c r="D778" s="14" t="s">
        <v>1179</v>
      </c>
    </row>
    <row r="779" spans="1:4" ht="13.5" customHeight="1">
      <c r="A779" s="9"/>
      <c r="B779" s="24" t="s">
        <v>2625</v>
      </c>
      <c r="C779" s="36">
        <v>4</v>
      </c>
      <c r="D779" s="14" t="s">
        <v>2571</v>
      </c>
    </row>
    <row r="780" spans="1:4" ht="19.5" customHeight="1">
      <c r="A780" s="9"/>
      <c r="B780" s="31" t="s">
        <v>2626</v>
      </c>
      <c r="C780" s="32" t="s">
        <v>2623</v>
      </c>
      <c r="D780" s="14" t="s">
        <v>1181</v>
      </c>
    </row>
    <row r="781" spans="1:4" ht="19.5" customHeight="1">
      <c r="A781" s="35"/>
      <c r="B781" s="24"/>
      <c r="C781" s="36"/>
      <c r="D781" s="14"/>
    </row>
    <row r="782" spans="1:4" ht="19.5" customHeight="1">
      <c r="A782" s="9" t="s">
        <v>2667</v>
      </c>
      <c r="B782" s="33" t="s">
        <v>2630</v>
      </c>
      <c r="C782" s="34" t="s">
        <v>2608</v>
      </c>
      <c r="D782" s="14" t="s">
        <v>2151</v>
      </c>
    </row>
    <row r="783" spans="1:4" ht="19.5" customHeight="1">
      <c r="A783" s="9"/>
      <c r="B783" s="24" t="s">
        <v>2631</v>
      </c>
      <c r="C783" s="30" t="s">
        <v>2609</v>
      </c>
      <c r="D783" s="14" t="s">
        <v>2170</v>
      </c>
    </row>
    <row r="784" spans="1:4" ht="19.5" customHeight="1">
      <c r="A784" s="9"/>
      <c r="B784" s="24" t="s">
        <v>2635</v>
      </c>
      <c r="C784" s="30" t="s">
        <v>2608</v>
      </c>
      <c r="D784" s="14" t="s">
        <v>2134</v>
      </c>
    </row>
    <row r="785" spans="1:4" ht="19.5" customHeight="1">
      <c r="A785" s="9"/>
      <c r="B785" s="24" t="s">
        <v>420</v>
      </c>
      <c r="C785" s="30" t="s">
        <v>2609</v>
      </c>
      <c r="D785" s="14" t="s">
        <v>422</v>
      </c>
    </row>
    <row r="786" spans="1:4" ht="19.5" customHeight="1">
      <c r="A786" s="9"/>
      <c r="B786" s="24" t="s">
        <v>420</v>
      </c>
      <c r="C786" s="30" t="s">
        <v>2608</v>
      </c>
      <c r="D786" s="14" t="s">
        <v>422</v>
      </c>
    </row>
    <row r="787" spans="1:4" ht="19.5" customHeight="1">
      <c r="A787" s="9"/>
      <c r="B787" s="24" t="s">
        <v>2664</v>
      </c>
      <c r="C787" s="30" t="s">
        <v>2608</v>
      </c>
      <c r="D787" s="14" t="s">
        <v>2579</v>
      </c>
    </row>
    <row r="788" spans="1:4" ht="19.5" customHeight="1">
      <c r="A788" s="9"/>
      <c r="B788" s="24" t="s">
        <v>2665</v>
      </c>
      <c r="C788" s="30" t="s">
        <v>2608</v>
      </c>
      <c r="D788" s="14" t="s">
        <v>2583</v>
      </c>
    </row>
    <row r="789" spans="1:4" ht="19.5" customHeight="1">
      <c r="A789" s="9"/>
      <c r="B789" s="24" t="s">
        <v>2610</v>
      </c>
      <c r="C789" s="30" t="s">
        <v>2608</v>
      </c>
      <c r="D789" s="14" t="s">
        <v>2184</v>
      </c>
    </row>
    <row r="790" spans="1:4" ht="19.5" customHeight="1">
      <c r="A790" s="9"/>
      <c r="B790" s="24" t="s">
        <v>2613</v>
      </c>
      <c r="C790" s="30" t="s">
        <v>2608</v>
      </c>
      <c r="D790" s="14" t="s">
        <v>2614</v>
      </c>
    </row>
    <row r="791" spans="1:4" ht="19.5" customHeight="1">
      <c r="A791" s="9"/>
      <c r="B791" s="24" t="s">
        <v>2632</v>
      </c>
      <c r="C791" s="30" t="s">
        <v>2608</v>
      </c>
      <c r="D791" s="14" t="s">
        <v>2633</v>
      </c>
    </row>
    <row r="792" spans="1:4" ht="19.5" customHeight="1">
      <c r="A792" s="9"/>
      <c r="B792" s="24" t="s">
        <v>2646</v>
      </c>
      <c r="C792" s="30" t="s">
        <v>2609</v>
      </c>
      <c r="D792" s="14" t="s">
        <v>424</v>
      </c>
    </row>
    <row r="793" spans="1:4" ht="19.5" customHeight="1">
      <c r="A793" s="9"/>
      <c r="B793" s="24" t="s">
        <v>2617</v>
      </c>
      <c r="C793" s="36">
        <v>1</v>
      </c>
      <c r="D793" s="14" t="s">
        <v>2293</v>
      </c>
    </row>
    <row r="794" spans="1:4" ht="19.5" customHeight="1">
      <c r="A794" s="9"/>
      <c r="B794" s="24" t="s">
        <v>2618</v>
      </c>
      <c r="C794" s="36">
        <v>2</v>
      </c>
      <c r="D794" s="14" t="s">
        <v>2317</v>
      </c>
    </row>
    <row r="795" spans="1:4" ht="19.5" customHeight="1">
      <c r="A795" s="9"/>
      <c r="B795" s="24" t="s">
        <v>2619</v>
      </c>
      <c r="C795" s="36">
        <v>4</v>
      </c>
      <c r="D795" s="14" t="s">
        <v>2565</v>
      </c>
    </row>
    <row r="796" spans="1:4" ht="19.5" customHeight="1">
      <c r="A796" s="9"/>
      <c r="B796" s="24" t="s">
        <v>2620</v>
      </c>
      <c r="C796" s="36">
        <v>3</v>
      </c>
      <c r="D796" s="14" t="s">
        <v>547</v>
      </c>
    </row>
    <row r="797" spans="1:4" ht="17.25" customHeight="1">
      <c r="A797" s="9"/>
      <c r="B797" s="24" t="s">
        <v>2621</v>
      </c>
      <c r="C797" s="36">
        <v>6</v>
      </c>
      <c r="D797" s="14" t="s">
        <v>1107</v>
      </c>
    </row>
    <row r="798" spans="1:4" ht="16.5" customHeight="1">
      <c r="A798" s="9"/>
      <c r="B798" s="24" t="s">
        <v>2622</v>
      </c>
      <c r="C798" s="36">
        <v>2</v>
      </c>
      <c r="D798" s="14" t="s">
        <v>651</v>
      </c>
    </row>
    <row r="799" spans="1:4" ht="14.25" customHeight="1">
      <c r="A799" s="9"/>
      <c r="B799" s="24" t="s">
        <v>2568</v>
      </c>
      <c r="C799" s="30" t="s">
        <v>2623</v>
      </c>
      <c r="D799" s="14" t="s">
        <v>2569</v>
      </c>
    </row>
    <row r="800" spans="1:4" ht="19.5" customHeight="1">
      <c r="A800" s="9"/>
      <c r="B800" s="24" t="s">
        <v>2624</v>
      </c>
      <c r="C800" s="36">
        <v>4</v>
      </c>
      <c r="D800" s="14" t="s">
        <v>1179</v>
      </c>
    </row>
    <row r="801" spans="1:4" ht="14.25" customHeight="1">
      <c r="A801" s="9"/>
      <c r="B801" s="24" t="s">
        <v>2625</v>
      </c>
      <c r="C801" s="36">
        <v>4</v>
      </c>
      <c r="D801" s="14" t="s">
        <v>2571</v>
      </c>
    </row>
    <row r="802" spans="1:4" ht="15" customHeight="1">
      <c r="A802" s="9"/>
      <c r="B802" s="31" t="s">
        <v>2626</v>
      </c>
      <c r="C802" s="32" t="s">
        <v>2623</v>
      </c>
      <c r="D802" s="14" t="s">
        <v>1181</v>
      </c>
    </row>
    <row r="803" spans="1:4" ht="12.75" customHeight="1">
      <c r="A803" s="10" t="s">
        <v>1320</v>
      </c>
      <c r="B803" s="24" t="s">
        <v>2607</v>
      </c>
      <c r="C803" s="30" t="s">
        <v>2608</v>
      </c>
      <c r="D803" s="14" t="s">
        <v>2144</v>
      </c>
    </row>
    <row r="804" spans="1:4" ht="15" customHeight="1">
      <c r="A804" s="10"/>
      <c r="B804" s="24" t="s">
        <v>420</v>
      </c>
      <c r="C804" s="30" t="s">
        <v>2609</v>
      </c>
      <c r="D804" s="14" t="s">
        <v>422</v>
      </c>
    </row>
    <row r="805" spans="1:4" ht="15" customHeight="1">
      <c r="A805" s="10"/>
      <c r="B805" s="24" t="s">
        <v>2610</v>
      </c>
      <c r="C805" s="30" t="s">
        <v>2608</v>
      </c>
      <c r="D805" s="14" t="s">
        <v>2184</v>
      </c>
    </row>
    <row r="806" spans="1:4" ht="15" customHeight="1">
      <c r="A806" s="10"/>
      <c r="B806" s="24" t="s">
        <v>2611</v>
      </c>
      <c r="C806" s="30" t="s">
        <v>2608</v>
      </c>
      <c r="D806" s="14" t="s">
        <v>2148</v>
      </c>
    </row>
    <row r="807" spans="1:4" ht="15" customHeight="1">
      <c r="A807" s="10"/>
      <c r="B807" s="24" t="s">
        <v>420</v>
      </c>
      <c r="C807" s="30" t="s">
        <v>2609</v>
      </c>
      <c r="D807" s="14" t="s">
        <v>422</v>
      </c>
    </row>
    <row r="808" spans="1:4" ht="15" customHeight="1">
      <c r="A808" s="10"/>
      <c r="B808" s="24" t="s">
        <v>2637</v>
      </c>
      <c r="C808" s="30" t="s">
        <v>2608</v>
      </c>
      <c r="D808" s="14" t="s">
        <v>2180</v>
      </c>
    </row>
    <row r="809" spans="1:4" ht="15" customHeight="1">
      <c r="A809" s="10"/>
      <c r="B809" s="24" t="s">
        <v>420</v>
      </c>
      <c r="C809" s="30" t="s">
        <v>2609</v>
      </c>
      <c r="D809" s="14" t="s">
        <v>422</v>
      </c>
    </row>
    <row r="810" spans="1:4" ht="15" customHeight="1">
      <c r="A810" s="10"/>
      <c r="B810" s="24" t="s">
        <v>2638</v>
      </c>
      <c r="C810" s="30" t="s">
        <v>2608</v>
      </c>
      <c r="D810" s="14" t="s">
        <v>1898</v>
      </c>
    </row>
    <row r="811" spans="1:4" ht="15" customHeight="1">
      <c r="A811" s="10"/>
      <c r="B811" s="24" t="s">
        <v>2664</v>
      </c>
      <c r="C811" s="30" t="s">
        <v>2608</v>
      </c>
      <c r="D811" s="14" t="s">
        <v>2579</v>
      </c>
    </row>
    <row r="812" spans="1:4" ht="15" customHeight="1">
      <c r="A812" s="10"/>
      <c r="B812" s="24" t="s">
        <v>2665</v>
      </c>
      <c r="C812" s="30" t="s">
        <v>2608</v>
      </c>
      <c r="D812" s="14" t="s">
        <v>2583</v>
      </c>
    </row>
    <row r="813" spans="1:4" ht="15" customHeight="1">
      <c r="A813" s="10"/>
      <c r="B813" s="24" t="s">
        <v>2612</v>
      </c>
      <c r="C813" s="30" t="s">
        <v>2608</v>
      </c>
      <c r="D813" s="14" t="s">
        <v>2167</v>
      </c>
    </row>
    <row r="814" spans="1:4" ht="15" customHeight="1">
      <c r="A814" s="10"/>
      <c r="B814" s="24" t="s">
        <v>2613</v>
      </c>
      <c r="C814" s="30" t="s">
        <v>2608</v>
      </c>
      <c r="D814" s="14" t="s">
        <v>2614</v>
      </c>
    </row>
    <row r="815" spans="1:4" ht="15" customHeight="1">
      <c r="A815" s="10"/>
      <c r="B815" s="24" t="s">
        <v>2615</v>
      </c>
      <c r="C815" s="30" t="s">
        <v>2608</v>
      </c>
      <c r="D815" s="14" t="s">
        <v>2174</v>
      </c>
    </row>
    <row r="816" spans="1:4" ht="15" customHeight="1">
      <c r="A816" s="10"/>
      <c r="B816" s="24" t="s">
        <v>2646</v>
      </c>
      <c r="C816" s="30" t="s">
        <v>2609</v>
      </c>
      <c r="D816" s="14" t="s">
        <v>424</v>
      </c>
    </row>
    <row r="817" spans="1:4" ht="13.5" customHeight="1">
      <c r="A817" s="10"/>
      <c r="B817" s="24" t="s">
        <v>2617</v>
      </c>
      <c r="C817" s="36">
        <v>1</v>
      </c>
      <c r="D817" s="14" t="s">
        <v>2293</v>
      </c>
    </row>
    <row r="818" spans="1:4" ht="13.5" customHeight="1">
      <c r="A818" s="10"/>
      <c r="B818" s="24" t="s">
        <v>2618</v>
      </c>
      <c r="C818" s="36">
        <v>2</v>
      </c>
      <c r="D818" s="14" t="s">
        <v>2317</v>
      </c>
    </row>
    <row r="819" spans="1:4" ht="12.75" customHeight="1">
      <c r="A819" s="10"/>
      <c r="B819" s="24" t="s">
        <v>2619</v>
      </c>
      <c r="C819" s="36">
        <v>4</v>
      </c>
      <c r="D819" s="14" t="s">
        <v>2565</v>
      </c>
    </row>
    <row r="820" spans="1:4" ht="15" customHeight="1">
      <c r="A820" s="10"/>
      <c r="B820" s="24" t="s">
        <v>2639</v>
      </c>
      <c r="C820" s="36">
        <v>1</v>
      </c>
      <c r="D820" s="14" t="s">
        <v>2601</v>
      </c>
    </row>
    <row r="821" spans="1:4" ht="15" customHeight="1">
      <c r="A821" s="10"/>
      <c r="B821" s="24" t="s">
        <v>2640</v>
      </c>
      <c r="C821" s="36">
        <v>4</v>
      </c>
      <c r="D821" s="14" t="s">
        <v>1113</v>
      </c>
    </row>
    <row r="822" spans="1:4" ht="15" customHeight="1">
      <c r="A822" s="10"/>
      <c r="B822" s="24" t="s">
        <v>2620</v>
      </c>
      <c r="C822" s="36">
        <v>3</v>
      </c>
      <c r="D822" s="14" t="s">
        <v>547</v>
      </c>
    </row>
    <row r="823" spans="1:4" ht="15" customHeight="1">
      <c r="A823" s="10"/>
      <c r="B823" s="24" t="s">
        <v>2621</v>
      </c>
      <c r="C823" s="36">
        <v>6</v>
      </c>
      <c r="D823" s="14" t="s">
        <v>1107</v>
      </c>
    </row>
    <row r="824" spans="1:4" ht="15" customHeight="1">
      <c r="A824" s="10"/>
      <c r="B824" s="24" t="s">
        <v>2642</v>
      </c>
      <c r="C824" s="36">
        <v>2</v>
      </c>
      <c r="D824" s="14" t="s">
        <v>653</v>
      </c>
    </row>
    <row r="825" spans="1:4" ht="15" customHeight="1">
      <c r="A825" s="10"/>
      <c r="B825" s="24" t="s">
        <v>2568</v>
      </c>
      <c r="C825" s="30" t="s">
        <v>2623</v>
      </c>
      <c r="D825" s="14" t="s">
        <v>2569</v>
      </c>
    </row>
    <row r="826" spans="1:4" ht="14.25" customHeight="1">
      <c r="A826" s="10"/>
      <c r="B826" s="24" t="s">
        <v>2624</v>
      </c>
      <c r="C826" s="36">
        <v>4</v>
      </c>
      <c r="D826" s="14" t="s">
        <v>1179</v>
      </c>
    </row>
    <row r="827" spans="1:4" ht="12" customHeight="1">
      <c r="A827" s="10"/>
      <c r="B827" s="24" t="s">
        <v>2625</v>
      </c>
      <c r="C827" s="36">
        <v>4</v>
      </c>
      <c r="D827" s="14" t="s">
        <v>2571</v>
      </c>
    </row>
    <row r="828" spans="1:4" ht="15.75" customHeight="1">
      <c r="A828" s="10"/>
      <c r="B828" s="31" t="s">
        <v>2626</v>
      </c>
      <c r="C828" s="32" t="s">
        <v>2623</v>
      </c>
      <c r="D828" s="14" t="s">
        <v>1181</v>
      </c>
    </row>
    <row r="829" spans="1:4" ht="19.5" customHeight="1">
      <c r="A829" s="9" t="s">
        <v>2668</v>
      </c>
      <c r="B829" s="33" t="s">
        <v>2611</v>
      </c>
      <c r="C829" s="34" t="s">
        <v>2608</v>
      </c>
      <c r="D829" s="14" t="s">
        <v>2148</v>
      </c>
    </row>
    <row r="830" spans="1:4" ht="15" customHeight="1">
      <c r="A830" s="9"/>
      <c r="B830" s="24" t="s">
        <v>2627</v>
      </c>
      <c r="C830" s="30" t="s">
        <v>2609</v>
      </c>
      <c r="D830" s="14" t="s">
        <v>2167</v>
      </c>
    </row>
    <row r="831" spans="1:4" ht="15" customHeight="1">
      <c r="A831" s="9"/>
      <c r="B831" s="24" t="s">
        <v>2628</v>
      </c>
      <c r="C831" s="30" t="s">
        <v>2608</v>
      </c>
      <c r="D831" s="14" t="s">
        <v>2140</v>
      </c>
    </row>
    <row r="832" spans="1:4" ht="15" customHeight="1">
      <c r="A832" s="9"/>
      <c r="B832" s="24" t="s">
        <v>420</v>
      </c>
      <c r="C832" s="30" t="s">
        <v>2609</v>
      </c>
      <c r="D832" s="14" t="s">
        <v>422</v>
      </c>
    </row>
    <row r="833" spans="1:4" ht="15" customHeight="1">
      <c r="A833" s="9"/>
      <c r="B833" s="24" t="s">
        <v>420</v>
      </c>
      <c r="C833" s="30" t="s">
        <v>2609</v>
      </c>
      <c r="D833" s="14" t="s">
        <v>422</v>
      </c>
    </row>
    <row r="834" spans="1:4" ht="15" customHeight="1">
      <c r="A834" s="9"/>
      <c r="B834" s="24" t="s">
        <v>2637</v>
      </c>
      <c r="C834" s="30" t="s">
        <v>2608</v>
      </c>
      <c r="D834" s="14" t="s">
        <v>2180</v>
      </c>
    </row>
    <row r="835" spans="1:4" ht="15" customHeight="1">
      <c r="A835" s="9"/>
      <c r="B835" s="24" t="s">
        <v>2638</v>
      </c>
      <c r="C835" s="30" t="s">
        <v>2608</v>
      </c>
      <c r="D835" s="14" t="s">
        <v>1898</v>
      </c>
    </row>
    <row r="836" spans="1:4" ht="15" customHeight="1">
      <c r="A836" s="9"/>
      <c r="B836" s="24" t="s">
        <v>2664</v>
      </c>
      <c r="C836" s="30" t="s">
        <v>2608</v>
      </c>
      <c r="D836" s="14" t="s">
        <v>2579</v>
      </c>
    </row>
    <row r="837" spans="1:4" ht="15" customHeight="1">
      <c r="A837" s="9"/>
      <c r="B837" s="24" t="s">
        <v>2665</v>
      </c>
      <c r="C837" s="30" t="s">
        <v>2608</v>
      </c>
      <c r="D837" s="14" t="s">
        <v>2583</v>
      </c>
    </row>
    <row r="838" spans="1:4" ht="15" customHeight="1">
      <c r="A838" s="9"/>
      <c r="B838" s="24" t="s">
        <v>420</v>
      </c>
      <c r="C838" s="30" t="s">
        <v>2608</v>
      </c>
      <c r="D838" s="14" t="s">
        <v>422</v>
      </c>
    </row>
    <row r="839" spans="1:4" ht="15" customHeight="1">
      <c r="A839" s="9"/>
      <c r="B839" s="24" t="s">
        <v>2610</v>
      </c>
      <c r="C839" s="30" t="s">
        <v>2608</v>
      </c>
      <c r="D839" s="14" t="s">
        <v>2184</v>
      </c>
    </row>
    <row r="840" spans="1:4" ht="15" customHeight="1">
      <c r="A840" s="9"/>
      <c r="B840" s="24" t="s">
        <v>2613</v>
      </c>
      <c r="C840" s="30" t="s">
        <v>2608</v>
      </c>
      <c r="D840" s="14" t="s">
        <v>2614</v>
      </c>
    </row>
    <row r="841" spans="1:4" ht="15" customHeight="1">
      <c r="A841" s="9"/>
      <c r="B841" s="24" t="s">
        <v>2615</v>
      </c>
      <c r="C841" s="30" t="s">
        <v>2608</v>
      </c>
      <c r="D841" s="14" t="s">
        <v>2174</v>
      </c>
    </row>
    <row r="842" spans="1:4" ht="15" customHeight="1">
      <c r="A842" s="9"/>
      <c r="B842" s="24" t="s">
        <v>2646</v>
      </c>
      <c r="C842" s="30" t="s">
        <v>2609</v>
      </c>
      <c r="D842" s="14" t="s">
        <v>424</v>
      </c>
    </row>
    <row r="843" spans="1:4" ht="15" customHeight="1">
      <c r="A843" s="9"/>
      <c r="B843" s="24" t="s">
        <v>2617</v>
      </c>
      <c r="C843" s="36">
        <v>1</v>
      </c>
      <c r="D843" s="14" t="s">
        <v>2293</v>
      </c>
    </row>
    <row r="844" spans="1:4" ht="15" customHeight="1">
      <c r="A844" s="9"/>
      <c r="B844" s="24" t="s">
        <v>2618</v>
      </c>
      <c r="C844" s="36">
        <v>2</v>
      </c>
      <c r="D844" s="14" t="s">
        <v>2317</v>
      </c>
    </row>
    <row r="845" spans="1:4" ht="15" customHeight="1">
      <c r="A845" s="9"/>
      <c r="B845" s="24" t="s">
        <v>2639</v>
      </c>
      <c r="C845" s="36">
        <v>1</v>
      </c>
      <c r="D845" s="14" t="s">
        <v>2601</v>
      </c>
    </row>
    <row r="846" spans="1:4" ht="15" customHeight="1">
      <c r="A846" s="9"/>
      <c r="B846" s="24" t="s">
        <v>2619</v>
      </c>
      <c r="C846" s="36">
        <v>4</v>
      </c>
      <c r="D846" s="14" t="s">
        <v>2565</v>
      </c>
    </row>
    <row r="847" spans="1:4" ht="15" customHeight="1">
      <c r="A847" s="9"/>
      <c r="B847" s="24" t="s">
        <v>2640</v>
      </c>
      <c r="C847" s="36">
        <v>4</v>
      </c>
      <c r="D847" s="14" t="s">
        <v>1113</v>
      </c>
    </row>
    <row r="848" spans="1:4" ht="15" customHeight="1">
      <c r="A848" s="9"/>
      <c r="B848" s="24" t="s">
        <v>2620</v>
      </c>
      <c r="C848" s="36">
        <v>3</v>
      </c>
      <c r="D848" s="14" t="s">
        <v>547</v>
      </c>
    </row>
    <row r="849" spans="1:4" ht="15" customHeight="1">
      <c r="A849" s="9"/>
      <c r="B849" s="24" t="s">
        <v>2621</v>
      </c>
      <c r="C849" s="36">
        <v>6</v>
      </c>
      <c r="D849" s="14" t="s">
        <v>1107</v>
      </c>
    </row>
    <row r="850" spans="1:4" ht="15" customHeight="1">
      <c r="A850" s="9"/>
      <c r="B850" s="24" t="s">
        <v>2642</v>
      </c>
      <c r="C850" s="36">
        <v>2</v>
      </c>
      <c r="D850" s="14" t="s">
        <v>653</v>
      </c>
    </row>
    <row r="851" spans="1:4" ht="15" customHeight="1">
      <c r="A851" s="9"/>
      <c r="B851" s="24" t="s">
        <v>2568</v>
      </c>
      <c r="C851" s="30" t="s">
        <v>2623</v>
      </c>
      <c r="D851" s="14" t="s">
        <v>2569</v>
      </c>
    </row>
    <row r="852" spans="1:4" ht="15" customHeight="1">
      <c r="A852" s="9"/>
      <c r="B852" s="24" t="s">
        <v>2624</v>
      </c>
      <c r="C852" s="36">
        <v>4</v>
      </c>
      <c r="D852" s="14" t="s">
        <v>1179</v>
      </c>
    </row>
    <row r="853" spans="1:4" ht="15" customHeight="1">
      <c r="A853" s="9"/>
      <c r="B853" s="24" t="s">
        <v>2625</v>
      </c>
      <c r="C853" s="36">
        <v>4</v>
      </c>
      <c r="D853" s="14" t="s">
        <v>2571</v>
      </c>
    </row>
    <row r="854" spans="1:4" ht="15" customHeight="1">
      <c r="A854" s="9"/>
      <c r="B854" s="31" t="s">
        <v>2626</v>
      </c>
      <c r="C854" s="32" t="s">
        <v>2623</v>
      </c>
      <c r="D854" s="14" t="s">
        <v>1181</v>
      </c>
    </row>
    <row r="855" spans="1:4" ht="15" customHeight="1">
      <c r="A855" s="9" t="s">
        <v>1326</v>
      </c>
      <c r="B855" s="33" t="s">
        <v>2630</v>
      </c>
      <c r="C855" s="34" t="s">
        <v>2608</v>
      </c>
      <c r="D855" s="14" t="s">
        <v>2151</v>
      </c>
    </row>
    <row r="856" spans="1:4" ht="15" customHeight="1">
      <c r="A856" s="9"/>
      <c r="B856" s="24" t="s">
        <v>2631</v>
      </c>
      <c r="C856" s="30" t="s">
        <v>2609</v>
      </c>
      <c r="D856" s="14" t="s">
        <v>2170</v>
      </c>
    </row>
    <row r="857" spans="1:4" ht="15" customHeight="1">
      <c r="A857" s="9"/>
      <c r="B857" s="24" t="s">
        <v>2628</v>
      </c>
      <c r="C857" s="30" t="s">
        <v>2608</v>
      </c>
      <c r="D857" s="14" t="s">
        <v>2140</v>
      </c>
    </row>
    <row r="858" spans="1:4" ht="15" customHeight="1">
      <c r="A858" s="9"/>
      <c r="B858" s="24" t="s">
        <v>420</v>
      </c>
      <c r="C858" s="30" t="s">
        <v>2609</v>
      </c>
      <c r="D858" s="14" t="s">
        <v>422</v>
      </c>
    </row>
    <row r="859" spans="1:4" ht="15" customHeight="1">
      <c r="A859" s="9"/>
      <c r="B859" s="24" t="s">
        <v>420</v>
      </c>
      <c r="C859" s="30" t="s">
        <v>2609</v>
      </c>
      <c r="D859" s="14" t="s">
        <v>422</v>
      </c>
    </row>
    <row r="860" spans="1:4" ht="15" customHeight="1">
      <c r="A860" s="9"/>
      <c r="B860" s="24" t="s">
        <v>2637</v>
      </c>
      <c r="C860" s="30" t="s">
        <v>2608</v>
      </c>
      <c r="D860" s="14" t="s">
        <v>2180</v>
      </c>
    </row>
    <row r="861" spans="1:4" ht="15" customHeight="1">
      <c r="A861" s="9"/>
      <c r="B861" s="24" t="s">
        <v>420</v>
      </c>
      <c r="C861" s="30" t="s">
        <v>2608</v>
      </c>
      <c r="D861" s="14" t="s">
        <v>422</v>
      </c>
    </row>
    <row r="862" spans="1:4" ht="15" customHeight="1">
      <c r="A862" s="9"/>
      <c r="B862" s="24" t="s">
        <v>2638</v>
      </c>
      <c r="C862" s="30" t="s">
        <v>2608</v>
      </c>
      <c r="D862" s="14" t="s">
        <v>1898</v>
      </c>
    </row>
    <row r="863" spans="1:4" ht="15" customHeight="1">
      <c r="A863" s="9"/>
      <c r="B863" s="24" t="s">
        <v>2610</v>
      </c>
      <c r="C863" s="30" t="s">
        <v>2608</v>
      </c>
      <c r="D863" s="14" t="s">
        <v>2184</v>
      </c>
    </row>
    <row r="864" spans="1:4" ht="15" customHeight="1">
      <c r="A864" s="9"/>
      <c r="B864" s="24" t="s">
        <v>2664</v>
      </c>
      <c r="C864" s="30" t="s">
        <v>2608</v>
      </c>
      <c r="D864" s="14" t="s">
        <v>2579</v>
      </c>
    </row>
    <row r="865" spans="1:4" ht="15" customHeight="1">
      <c r="A865" s="9"/>
      <c r="B865" s="24" t="s">
        <v>2665</v>
      </c>
      <c r="C865" s="30" t="s">
        <v>2608</v>
      </c>
      <c r="D865" s="14" t="s">
        <v>2583</v>
      </c>
    </row>
    <row r="866" spans="1:4" ht="15" customHeight="1">
      <c r="A866" s="9"/>
      <c r="B866" s="24" t="s">
        <v>2613</v>
      </c>
      <c r="C866" s="30" t="s">
        <v>2608</v>
      </c>
      <c r="D866" s="14" t="s">
        <v>2614</v>
      </c>
    </row>
    <row r="867" spans="1:4" ht="15" customHeight="1">
      <c r="A867" s="9"/>
      <c r="B867" s="24" t="s">
        <v>2632</v>
      </c>
      <c r="C867" s="30" t="s">
        <v>2608</v>
      </c>
      <c r="D867" s="14" t="s">
        <v>2633</v>
      </c>
    </row>
    <row r="868" spans="1:4" ht="15" customHeight="1">
      <c r="A868" s="9"/>
      <c r="B868" s="24" t="s">
        <v>2646</v>
      </c>
      <c r="C868" s="30" t="s">
        <v>2609</v>
      </c>
      <c r="D868" s="14" t="s">
        <v>424</v>
      </c>
    </row>
    <row r="869" spans="1:4" ht="12.75" customHeight="1">
      <c r="A869" s="9"/>
      <c r="B869" s="24" t="s">
        <v>2617</v>
      </c>
      <c r="C869" s="36">
        <v>1</v>
      </c>
      <c r="D869" s="14" t="s">
        <v>2293</v>
      </c>
    </row>
    <row r="870" spans="1:4" ht="15" customHeight="1">
      <c r="A870" s="9"/>
      <c r="B870" s="24" t="s">
        <v>2618</v>
      </c>
      <c r="C870" s="36">
        <v>2</v>
      </c>
      <c r="D870" s="14" t="s">
        <v>2317</v>
      </c>
    </row>
    <row r="871" spans="1:4" ht="15" customHeight="1">
      <c r="A871" s="9"/>
      <c r="B871" s="24" t="s">
        <v>2639</v>
      </c>
      <c r="C871" s="36">
        <v>1</v>
      </c>
      <c r="D871" s="14" t="s">
        <v>2601</v>
      </c>
    </row>
    <row r="872" spans="1:4" ht="15" customHeight="1">
      <c r="A872" s="9"/>
      <c r="B872" s="24" t="s">
        <v>2619</v>
      </c>
      <c r="C872" s="36">
        <v>4</v>
      </c>
      <c r="D872" s="14" t="s">
        <v>2565</v>
      </c>
    </row>
    <row r="873" spans="1:4" ht="15" customHeight="1">
      <c r="A873" s="9"/>
      <c r="B873" s="24" t="s">
        <v>2640</v>
      </c>
      <c r="C873" s="36">
        <v>4</v>
      </c>
      <c r="D873" s="14" t="s">
        <v>1113</v>
      </c>
    </row>
    <row r="874" spans="1:4" ht="15" customHeight="1">
      <c r="A874" s="9"/>
      <c r="B874" s="24" t="s">
        <v>2620</v>
      </c>
      <c r="C874" s="36">
        <v>3</v>
      </c>
      <c r="D874" s="14" t="s">
        <v>547</v>
      </c>
    </row>
    <row r="875" spans="1:4" ht="15" customHeight="1">
      <c r="A875" s="9"/>
      <c r="B875" s="24" t="s">
        <v>2621</v>
      </c>
      <c r="C875" s="36">
        <v>6</v>
      </c>
      <c r="D875" s="14" t="s">
        <v>1107</v>
      </c>
    </row>
    <row r="876" spans="1:4" ht="15" customHeight="1">
      <c r="A876" s="9"/>
      <c r="B876" s="24" t="s">
        <v>2642</v>
      </c>
      <c r="C876" s="36">
        <v>2</v>
      </c>
      <c r="D876" s="14" t="s">
        <v>653</v>
      </c>
    </row>
    <row r="877" spans="1:4" ht="13.5" customHeight="1">
      <c r="A877" s="9"/>
      <c r="B877" s="24" t="s">
        <v>2568</v>
      </c>
      <c r="C877" s="30" t="s">
        <v>2623</v>
      </c>
      <c r="D877" s="14" t="s">
        <v>2569</v>
      </c>
    </row>
    <row r="878" spans="1:4" ht="15.75" customHeight="1">
      <c r="A878" s="9"/>
      <c r="B878" s="24" t="s">
        <v>2624</v>
      </c>
      <c r="C878" s="36">
        <v>4</v>
      </c>
      <c r="D878" s="14" t="s">
        <v>1179</v>
      </c>
    </row>
    <row r="879" spans="1:4" ht="15" customHeight="1">
      <c r="A879" s="9"/>
      <c r="B879" s="24" t="s">
        <v>2625</v>
      </c>
      <c r="C879" s="36">
        <v>4</v>
      </c>
      <c r="D879" s="14" t="s">
        <v>2571</v>
      </c>
    </row>
    <row r="880" spans="1:4" ht="15" customHeight="1">
      <c r="A880" s="9"/>
      <c r="B880" s="31" t="s">
        <v>2626</v>
      </c>
      <c r="C880" s="32" t="s">
        <v>2623</v>
      </c>
      <c r="D880" s="14" t="s">
        <v>1181</v>
      </c>
    </row>
    <row r="881" spans="1:4" ht="15" customHeight="1">
      <c r="A881" s="9" t="s">
        <v>1322</v>
      </c>
      <c r="B881" s="33" t="s">
        <v>2630</v>
      </c>
      <c r="C881" s="34" t="s">
        <v>2608</v>
      </c>
      <c r="D881" s="14" t="s">
        <v>2151</v>
      </c>
    </row>
    <row r="882" spans="1:4" ht="15" customHeight="1">
      <c r="A882" s="9"/>
      <c r="B882" s="24" t="s">
        <v>2631</v>
      </c>
      <c r="C882" s="30" t="s">
        <v>2609</v>
      </c>
      <c r="D882" s="14" t="s">
        <v>2170</v>
      </c>
    </row>
    <row r="883" spans="1:4" ht="15" customHeight="1">
      <c r="A883" s="9"/>
      <c r="B883" s="24" t="s">
        <v>2607</v>
      </c>
      <c r="C883" s="30" t="s">
        <v>2608</v>
      </c>
      <c r="D883" s="14" t="s">
        <v>2144</v>
      </c>
    </row>
    <row r="884" spans="1:4" ht="15" customHeight="1">
      <c r="A884" s="9"/>
      <c r="B884" s="24" t="s">
        <v>420</v>
      </c>
      <c r="C884" s="30" t="s">
        <v>2609</v>
      </c>
      <c r="D884" s="14" t="s">
        <v>422</v>
      </c>
    </row>
    <row r="885" spans="1:4" ht="15" customHeight="1">
      <c r="A885" s="9"/>
      <c r="B885" s="24" t="s">
        <v>420</v>
      </c>
      <c r="C885" s="30" t="s">
        <v>2608</v>
      </c>
      <c r="D885" s="14" t="s">
        <v>422</v>
      </c>
    </row>
    <row r="886" spans="1:4" ht="15" customHeight="1">
      <c r="A886" s="9"/>
      <c r="B886" s="24" t="s">
        <v>420</v>
      </c>
      <c r="C886" s="30" t="s">
        <v>2609</v>
      </c>
      <c r="D886" s="14" t="s">
        <v>422</v>
      </c>
    </row>
    <row r="887" spans="1:4" ht="15" customHeight="1">
      <c r="A887" s="9"/>
      <c r="B887" s="24" t="s">
        <v>2637</v>
      </c>
      <c r="C887" s="30" t="s">
        <v>2609</v>
      </c>
      <c r="D887" s="14" t="s">
        <v>2180</v>
      </c>
    </row>
    <row r="888" spans="1:4" ht="15" customHeight="1">
      <c r="A888" s="9"/>
      <c r="B888" s="24" t="s">
        <v>2638</v>
      </c>
      <c r="C888" s="30" t="s">
        <v>2608</v>
      </c>
      <c r="D888" s="14" t="s">
        <v>1898</v>
      </c>
    </row>
    <row r="889" spans="1:4" ht="15" customHeight="1">
      <c r="A889" s="9"/>
      <c r="B889" s="24" t="s">
        <v>2664</v>
      </c>
      <c r="C889" s="30" t="s">
        <v>2608</v>
      </c>
      <c r="D889" s="14" t="s">
        <v>2579</v>
      </c>
    </row>
    <row r="890" spans="1:4" ht="15" customHeight="1">
      <c r="A890" s="9"/>
      <c r="B890" s="24" t="s">
        <v>2665</v>
      </c>
      <c r="C890" s="30" t="s">
        <v>2608</v>
      </c>
      <c r="D890" s="14" t="s">
        <v>2583</v>
      </c>
    </row>
    <row r="891" spans="1:4" ht="19.5" customHeight="1">
      <c r="A891" s="9"/>
      <c r="B891" s="24" t="s">
        <v>2610</v>
      </c>
      <c r="C891" s="30" t="s">
        <v>2608</v>
      </c>
      <c r="D891" s="14" t="s">
        <v>2184</v>
      </c>
    </row>
    <row r="892" spans="1:4" ht="17.25" customHeight="1">
      <c r="A892" s="9"/>
      <c r="B892" s="24" t="s">
        <v>2613</v>
      </c>
      <c r="C892" s="30" t="s">
        <v>2608</v>
      </c>
      <c r="D892" s="14" t="s">
        <v>2614</v>
      </c>
    </row>
    <row r="893" spans="1:4" ht="17.25" customHeight="1">
      <c r="A893" s="9"/>
      <c r="B893" s="24" t="s">
        <v>2632</v>
      </c>
      <c r="C893" s="30" t="s">
        <v>2608</v>
      </c>
      <c r="D893" s="14" t="s">
        <v>2633</v>
      </c>
    </row>
    <row r="894" spans="1:4" ht="15" customHeight="1">
      <c r="A894" s="9"/>
      <c r="B894" s="24" t="s">
        <v>2646</v>
      </c>
      <c r="C894" s="30" t="s">
        <v>2609</v>
      </c>
      <c r="D894" s="14" t="s">
        <v>424</v>
      </c>
    </row>
    <row r="895" spans="1:4" ht="15" customHeight="1">
      <c r="A895" s="9"/>
      <c r="B895" s="24" t="s">
        <v>2617</v>
      </c>
      <c r="C895" s="36">
        <v>1</v>
      </c>
      <c r="D895" s="14" t="s">
        <v>2293</v>
      </c>
    </row>
    <row r="896" spans="1:4" ht="15" customHeight="1">
      <c r="A896" s="9"/>
      <c r="B896" s="24" t="s">
        <v>2618</v>
      </c>
      <c r="C896" s="36">
        <v>2</v>
      </c>
      <c r="D896" s="14" t="s">
        <v>2317</v>
      </c>
    </row>
    <row r="897" spans="1:4" ht="15" customHeight="1">
      <c r="A897" s="9"/>
      <c r="B897" s="24" t="s">
        <v>2619</v>
      </c>
      <c r="C897" s="36">
        <v>4</v>
      </c>
      <c r="D897" s="14" t="s">
        <v>2565</v>
      </c>
    </row>
    <row r="898" spans="1:4" ht="15" customHeight="1">
      <c r="A898" s="9"/>
      <c r="B898" s="24" t="s">
        <v>2639</v>
      </c>
      <c r="C898" s="36">
        <v>1</v>
      </c>
      <c r="D898" s="14" t="s">
        <v>2601</v>
      </c>
    </row>
    <row r="899" spans="1:4" ht="15" customHeight="1">
      <c r="A899" s="9"/>
      <c r="B899" s="24" t="s">
        <v>2620</v>
      </c>
      <c r="C899" s="36">
        <v>3</v>
      </c>
      <c r="D899" s="14" t="s">
        <v>547</v>
      </c>
    </row>
    <row r="900" spans="1:4" ht="15" customHeight="1">
      <c r="A900" s="9"/>
      <c r="B900" s="24" t="s">
        <v>2640</v>
      </c>
      <c r="C900" s="36">
        <v>4</v>
      </c>
      <c r="D900" s="14" t="s">
        <v>1113</v>
      </c>
    </row>
    <row r="901" spans="1:4" ht="15" customHeight="1">
      <c r="A901" s="9"/>
      <c r="B901" s="24" t="s">
        <v>2621</v>
      </c>
      <c r="C901" s="36">
        <v>6</v>
      </c>
      <c r="D901" s="14" t="s">
        <v>1107</v>
      </c>
    </row>
    <row r="902" spans="1:4" ht="15" customHeight="1">
      <c r="A902" s="9"/>
      <c r="B902" s="24" t="s">
        <v>2642</v>
      </c>
      <c r="C902" s="36">
        <v>2</v>
      </c>
      <c r="D902" s="14" t="s">
        <v>653</v>
      </c>
    </row>
    <row r="903" spans="1:4" ht="15" customHeight="1">
      <c r="A903" s="9"/>
      <c r="B903" s="24" t="s">
        <v>2568</v>
      </c>
      <c r="C903" s="30" t="s">
        <v>2623</v>
      </c>
      <c r="D903" s="14" t="s">
        <v>2569</v>
      </c>
    </row>
    <row r="904" spans="1:4" ht="15" customHeight="1">
      <c r="A904" s="9"/>
      <c r="B904" s="24" t="s">
        <v>2624</v>
      </c>
      <c r="C904" s="36">
        <v>4</v>
      </c>
      <c r="D904" s="14" t="s">
        <v>1179</v>
      </c>
    </row>
    <row r="905" spans="1:4" ht="15" customHeight="1">
      <c r="A905" s="9"/>
      <c r="B905" s="24" t="s">
        <v>2625</v>
      </c>
      <c r="C905" s="36">
        <v>4</v>
      </c>
      <c r="D905" s="14" t="s">
        <v>2571</v>
      </c>
    </row>
    <row r="906" spans="1:4" ht="15" customHeight="1">
      <c r="A906" s="9"/>
      <c r="B906" s="31" t="s">
        <v>2626</v>
      </c>
      <c r="C906" s="32" t="s">
        <v>2623</v>
      </c>
      <c r="D906" s="14" t="s">
        <v>1181</v>
      </c>
    </row>
    <row r="907" spans="1:4" ht="15" customHeight="1">
      <c r="A907" s="9" t="s">
        <v>1328</v>
      </c>
      <c r="B907" s="33" t="s">
        <v>2611</v>
      </c>
      <c r="C907" s="34" t="s">
        <v>2608</v>
      </c>
      <c r="D907" s="14" t="s">
        <v>2148</v>
      </c>
    </row>
    <row r="908" spans="1:4" ht="15" customHeight="1">
      <c r="A908" s="9"/>
      <c r="B908" s="24" t="s">
        <v>2627</v>
      </c>
      <c r="C908" s="30" t="s">
        <v>2609</v>
      </c>
      <c r="D908" s="14" t="s">
        <v>2167</v>
      </c>
    </row>
    <row r="909" spans="1:4" ht="15" customHeight="1">
      <c r="A909" s="9"/>
      <c r="B909" s="24" t="s">
        <v>2635</v>
      </c>
      <c r="C909" s="30" t="s">
        <v>2608</v>
      </c>
      <c r="D909" s="14" t="s">
        <v>2134</v>
      </c>
    </row>
    <row r="910" spans="1:4" ht="15" customHeight="1">
      <c r="A910" s="9"/>
      <c r="B910" s="24" t="s">
        <v>420</v>
      </c>
      <c r="C910" s="30" t="s">
        <v>2609</v>
      </c>
      <c r="D910" s="14" t="s">
        <v>422</v>
      </c>
    </row>
    <row r="911" spans="1:4" ht="15" customHeight="1">
      <c r="A911" s="9"/>
      <c r="B911" s="24" t="s">
        <v>420</v>
      </c>
      <c r="C911" s="30" t="s">
        <v>2608</v>
      </c>
      <c r="D911" s="14" t="s">
        <v>422</v>
      </c>
    </row>
    <row r="912" spans="1:4" ht="15" customHeight="1">
      <c r="A912" s="9"/>
      <c r="B912" s="24" t="s">
        <v>420</v>
      </c>
      <c r="C912" s="30" t="s">
        <v>2609</v>
      </c>
      <c r="D912" s="14" t="s">
        <v>422</v>
      </c>
    </row>
    <row r="913" spans="1:4" ht="15" customHeight="1">
      <c r="A913" s="9"/>
      <c r="B913" s="24" t="s">
        <v>2610</v>
      </c>
      <c r="C913" s="30" t="s">
        <v>2608</v>
      </c>
      <c r="D913" s="14" t="s">
        <v>2184</v>
      </c>
    </row>
    <row r="914" spans="1:4" ht="15" customHeight="1">
      <c r="A914" s="9"/>
      <c r="B914" s="24" t="s">
        <v>2664</v>
      </c>
      <c r="C914" s="30" t="s">
        <v>2608</v>
      </c>
      <c r="D914" s="14" t="s">
        <v>2579</v>
      </c>
    </row>
    <row r="915" spans="1:4" ht="12.75" customHeight="1">
      <c r="A915" s="9"/>
      <c r="B915" s="24" t="s">
        <v>2637</v>
      </c>
      <c r="C915" s="30" t="s">
        <v>2609</v>
      </c>
      <c r="D915" s="14" t="s">
        <v>2180</v>
      </c>
    </row>
    <row r="916" spans="1:4" ht="12" customHeight="1">
      <c r="A916" s="9"/>
      <c r="B916" s="24" t="s">
        <v>2665</v>
      </c>
      <c r="C916" s="30" t="s">
        <v>2608</v>
      </c>
      <c r="D916" s="14" t="s">
        <v>2583</v>
      </c>
    </row>
    <row r="917" spans="1:4" ht="13.5" customHeight="1">
      <c r="A917" s="9"/>
      <c r="B917" s="24" t="s">
        <v>2663</v>
      </c>
      <c r="C917" s="30" t="s">
        <v>2608</v>
      </c>
      <c r="D917" s="14" t="s">
        <v>2180</v>
      </c>
    </row>
    <row r="918" spans="1:4" ht="12" customHeight="1">
      <c r="A918" s="9"/>
      <c r="B918" s="24" t="s">
        <v>2638</v>
      </c>
      <c r="C918" s="30" t="s">
        <v>2608</v>
      </c>
      <c r="D918" s="14" t="s">
        <v>1898</v>
      </c>
    </row>
    <row r="919" spans="1:4" ht="15" customHeight="1">
      <c r="A919" s="9"/>
      <c r="B919" s="24" t="s">
        <v>2613</v>
      </c>
      <c r="C919" s="30" t="s">
        <v>2608</v>
      </c>
      <c r="D919" s="14" t="s">
        <v>2614</v>
      </c>
    </row>
    <row r="920" spans="1:4" ht="15" customHeight="1">
      <c r="A920" s="9"/>
      <c r="B920" s="24" t="s">
        <v>2662</v>
      </c>
      <c r="C920" s="30" t="s">
        <v>2608</v>
      </c>
      <c r="D920" s="14" t="s">
        <v>2174</v>
      </c>
    </row>
    <row r="921" spans="1:4" ht="12" customHeight="1">
      <c r="A921" s="9"/>
      <c r="B921" s="24" t="s">
        <v>2646</v>
      </c>
      <c r="C921" s="30" t="s">
        <v>2609</v>
      </c>
      <c r="D921" s="14" t="s">
        <v>424</v>
      </c>
    </row>
    <row r="922" spans="1:4" ht="12.75" customHeight="1">
      <c r="A922" s="9"/>
      <c r="B922" s="24" t="s">
        <v>2617</v>
      </c>
      <c r="C922" s="36">
        <v>1</v>
      </c>
      <c r="D922" s="14" t="s">
        <v>2293</v>
      </c>
    </row>
    <row r="923" spans="1:4" ht="12.75" customHeight="1">
      <c r="A923" s="9"/>
      <c r="B923" s="24" t="s">
        <v>2618</v>
      </c>
      <c r="C923" s="36">
        <v>2</v>
      </c>
      <c r="D923" s="14" t="s">
        <v>2317</v>
      </c>
    </row>
    <row r="924" spans="1:4" ht="15" customHeight="1">
      <c r="A924" s="9"/>
      <c r="B924" s="24" t="s">
        <v>2639</v>
      </c>
      <c r="C924" s="36">
        <v>1</v>
      </c>
      <c r="D924" s="14" t="s">
        <v>2601</v>
      </c>
    </row>
    <row r="925" spans="1:4" ht="12" customHeight="1">
      <c r="A925" s="9"/>
      <c r="B925" s="24" t="s">
        <v>2619</v>
      </c>
      <c r="C925" s="36">
        <v>4</v>
      </c>
      <c r="D925" s="14" t="s">
        <v>2565</v>
      </c>
    </row>
    <row r="926" spans="1:4" ht="15" customHeight="1">
      <c r="A926" s="9"/>
      <c r="B926" s="24" t="s">
        <v>2620</v>
      </c>
      <c r="C926" s="36">
        <v>3</v>
      </c>
      <c r="D926" s="14" t="s">
        <v>547</v>
      </c>
    </row>
    <row r="927" spans="1:4" ht="15" customHeight="1">
      <c r="A927" s="9"/>
      <c r="B927" s="24" t="s">
        <v>2621</v>
      </c>
      <c r="C927" s="36">
        <v>6</v>
      </c>
      <c r="D927" s="14" t="s">
        <v>1107</v>
      </c>
    </row>
    <row r="928" spans="1:4" ht="15" customHeight="1">
      <c r="A928" s="9"/>
      <c r="B928" s="24" t="s">
        <v>2640</v>
      </c>
      <c r="C928" s="36">
        <v>4</v>
      </c>
      <c r="D928" s="14" t="s">
        <v>1113</v>
      </c>
    </row>
    <row r="929" spans="1:4" ht="15" customHeight="1">
      <c r="A929" s="9"/>
      <c r="B929" s="24" t="s">
        <v>2642</v>
      </c>
      <c r="C929" s="36">
        <v>2</v>
      </c>
      <c r="D929" s="14" t="s">
        <v>653</v>
      </c>
    </row>
    <row r="930" spans="1:4" ht="13.5" customHeight="1">
      <c r="A930" s="9"/>
      <c r="B930" s="24" t="s">
        <v>2568</v>
      </c>
      <c r="C930" s="30" t="s">
        <v>2623</v>
      </c>
      <c r="D930" s="14" t="s">
        <v>2569</v>
      </c>
    </row>
    <row r="931" spans="1:4" ht="12" customHeight="1">
      <c r="A931" s="9"/>
      <c r="B931" s="24" t="s">
        <v>2624</v>
      </c>
      <c r="C931" s="36">
        <v>4</v>
      </c>
      <c r="D931" s="14" t="s">
        <v>1179</v>
      </c>
    </row>
    <row r="932" spans="1:4" ht="14.25" customHeight="1">
      <c r="A932" s="9"/>
      <c r="B932" s="24" t="s">
        <v>2625</v>
      </c>
      <c r="C932" s="36">
        <v>4</v>
      </c>
      <c r="D932" s="14" t="s">
        <v>2571</v>
      </c>
    </row>
    <row r="933" spans="1:4" ht="15" customHeight="1">
      <c r="A933" s="9"/>
      <c r="B933" s="31" t="s">
        <v>2626</v>
      </c>
      <c r="C933" s="32" t="s">
        <v>2623</v>
      </c>
      <c r="D933" s="14" t="s">
        <v>1181</v>
      </c>
    </row>
    <row r="934" spans="1:4" ht="19.5" customHeight="1">
      <c r="A934" s="9" t="s">
        <v>1330</v>
      </c>
      <c r="B934" s="33" t="s">
        <v>2630</v>
      </c>
      <c r="C934" s="34" t="s">
        <v>2608</v>
      </c>
      <c r="D934" s="14" t="s">
        <v>2151</v>
      </c>
    </row>
    <row r="935" spans="1:4" ht="19.5" customHeight="1">
      <c r="A935" s="9"/>
      <c r="B935" s="24" t="s">
        <v>2631</v>
      </c>
      <c r="C935" s="30" t="s">
        <v>2609</v>
      </c>
      <c r="D935" s="14" t="s">
        <v>2170</v>
      </c>
    </row>
    <row r="936" spans="1:4" ht="19.5" customHeight="1">
      <c r="A936" s="9"/>
      <c r="B936" s="24" t="s">
        <v>2635</v>
      </c>
      <c r="C936" s="30" t="s">
        <v>2608</v>
      </c>
      <c r="D936" s="14" t="s">
        <v>2134</v>
      </c>
    </row>
    <row r="937" spans="1:4" ht="19.5" customHeight="1">
      <c r="A937" s="9"/>
      <c r="B937" s="24" t="s">
        <v>420</v>
      </c>
      <c r="C937" s="30" t="s">
        <v>2609</v>
      </c>
      <c r="D937" s="14" t="s">
        <v>422</v>
      </c>
    </row>
    <row r="938" spans="1:4" ht="19.5" customHeight="1">
      <c r="A938" s="9"/>
      <c r="B938" s="24" t="s">
        <v>420</v>
      </c>
      <c r="C938" s="30" t="s">
        <v>2609</v>
      </c>
      <c r="D938" s="14" t="s">
        <v>422</v>
      </c>
    </row>
    <row r="939" spans="1:4" ht="19.5" customHeight="1">
      <c r="A939" s="9"/>
      <c r="B939" s="24" t="s">
        <v>420</v>
      </c>
      <c r="C939" s="30" t="s">
        <v>2608</v>
      </c>
      <c r="D939" s="14" t="s">
        <v>422</v>
      </c>
    </row>
    <row r="940" spans="1:4" ht="19.5" customHeight="1">
      <c r="A940" s="9"/>
      <c r="B940" s="24" t="s">
        <v>2638</v>
      </c>
      <c r="C940" s="30" t="s">
        <v>2608</v>
      </c>
      <c r="D940" s="14" t="s">
        <v>1898</v>
      </c>
    </row>
    <row r="941" spans="1:4" ht="19.5" customHeight="1">
      <c r="A941" s="9"/>
      <c r="B941" s="24" t="s">
        <v>2610</v>
      </c>
      <c r="C941" s="30" t="s">
        <v>2608</v>
      </c>
      <c r="D941" s="14" t="s">
        <v>2184</v>
      </c>
    </row>
    <row r="942" spans="1:4" ht="19.5" customHeight="1">
      <c r="A942" s="9"/>
      <c r="B942" s="24" t="s">
        <v>2664</v>
      </c>
      <c r="C942" s="30" t="s">
        <v>2608</v>
      </c>
      <c r="D942" s="14" t="s">
        <v>2579</v>
      </c>
    </row>
    <row r="943" spans="1:4" ht="19.5" customHeight="1">
      <c r="A943" s="9"/>
      <c r="B943" s="24" t="s">
        <v>2663</v>
      </c>
      <c r="C943" s="30" t="s">
        <v>2608</v>
      </c>
      <c r="D943" s="14" t="s">
        <v>2180</v>
      </c>
    </row>
    <row r="944" spans="1:4" ht="19.5" customHeight="1">
      <c r="A944" s="9"/>
      <c r="B944" s="24" t="s">
        <v>2665</v>
      </c>
      <c r="C944" s="30" t="s">
        <v>2608</v>
      </c>
      <c r="D944" s="14" t="s">
        <v>2583</v>
      </c>
    </row>
    <row r="945" spans="1:4" ht="19.5" customHeight="1">
      <c r="A945" s="9"/>
      <c r="B945" s="24" t="s">
        <v>2613</v>
      </c>
      <c r="C945" s="30" t="s">
        <v>2608</v>
      </c>
      <c r="D945" s="14" t="s">
        <v>2614</v>
      </c>
    </row>
    <row r="946" spans="1:4" ht="19.5" customHeight="1">
      <c r="A946" s="9"/>
      <c r="B946" s="24" t="s">
        <v>2632</v>
      </c>
      <c r="C946" s="30" t="s">
        <v>2608</v>
      </c>
      <c r="D946" s="14" t="s">
        <v>2633</v>
      </c>
    </row>
    <row r="947" spans="1:4" ht="19.5" customHeight="1">
      <c r="A947" s="9"/>
      <c r="B947" s="24" t="s">
        <v>2634</v>
      </c>
      <c r="C947" s="30" t="s">
        <v>2609</v>
      </c>
      <c r="D947" s="14" t="s">
        <v>424</v>
      </c>
    </row>
    <row r="948" spans="1:4" ht="15" customHeight="1">
      <c r="A948" s="9"/>
      <c r="B948" s="24" t="s">
        <v>2617</v>
      </c>
      <c r="C948" s="36">
        <v>1</v>
      </c>
      <c r="D948" s="14" t="s">
        <v>2293</v>
      </c>
    </row>
    <row r="949" spans="1:4" ht="15" customHeight="1">
      <c r="A949" s="9"/>
      <c r="B949" s="24" t="s">
        <v>2618</v>
      </c>
      <c r="C949" s="36">
        <v>2</v>
      </c>
      <c r="D949" s="14" t="s">
        <v>2317</v>
      </c>
    </row>
    <row r="950" spans="1:4" ht="19.5" customHeight="1">
      <c r="A950" s="9"/>
      <c r="B950" s="24" t="s">
        <v>2619</v>
      </c>
      <c r="C950" s="36">
        <v>4</v>
      </c>
      <c r="D950" s="14" t="s">
        <v>2565</v>
      </c>
    </row>
    <row r="951" spans="1:4" ht="15" customHeight="1">
      <c r="A951" s="9"/>
      <c r="B951" s="24" t="s">
        <v>2639</v>
      </c>
      <c r="C951" s="36">
        <v>1</v>
      </c>
      <c r="D951" s="14" t="s">
        <v>2601</v>
      </c>
    </row>
    <row r="952" spans="1:4" ht="15" customHeight="1">
      <c r="A952" s="9"/>
      <c r="B952" s="24" t="s">
        <v>2640</v>
      </c>
      <c r="C952" s="36">
        <v>4</v>
      </c>
      <c r="D952" s="14" t="s">
        <v>1113</v>
      </c>
    </row>
    <row r="953" spans="1:4" ht="15" customHeight="1">
      <c r="A953" s="9"/>
      <c r="B953" s="24" t="s">
        <v>2641</v>
      </c>
      <c r="C953" s="36">
        <v>3</v>
      </c>
      <c r="D953" s="14" t="s">
        <v>557</v>
      </c>
    </row>
    <row r="954" spans="1:4" ht="15" customHeight="1">
      <c r="A954" s="9"/>
      <c r="B954" s="24" t="s">
        <v>2621</v>
      </c>
      <c r="C954" s="36">
        <v>6</v>
      </c>
      <c r="D954" s="14" t="s">
        <v>1107</v>
      </c>
    </row>
    <row r="955" spans="1:4" ht="15" customHeight="1">
      <c r="A955" s="9"/>
      <c r="B955" s="24" t="s">
        <v>2642</v>
      </c>
      <c r="C955" s="36">
        <v>2</v>
      </c>
      <c r="D955" s="14" t="s">
        <v>653</v>
      </c>
    </row>
    <row r="956" spans="1:4" ht="15" customHeight="1">
      <c r="A956" s="9"/>
      <c r="B956" s="24" t="s">
        <v>2568</v>
      </c>
      <c r="C956" s="30" t="s">
        <v>2623</v>
      </c>
      <c r="D956" s="14" t="s">
        <v>2569</v>
      </c>
    </row>
    <row r="957" spans="1:4" ht="15" customHeight="1">
      <c r="A957" s="9"/>
      <c r="B957" s="24" t="s">
        <v>2624</v>
      </c>
      <c r="C957" s="36">
        <v>4</v>
      </c>
      <c r="D957" s="14" t="s">
        <v>1179</v>
      </c>
    </row>
    <row r="958" spans="1:4" ht="15" customHeight="1">
      <c r="A958" s="9"/>
      <c r="B958" s="24" t="s">
        <v>2625</v>
      </c>
      <c r="C958" s="36">
        <v>4</v>
      </c>
      <c r="D958" s="14" t="s">
        <v>2571</v>
      </c>
    </row>
    <row r="959" spans="1:4" ht="15" customHeight="1">
      <c r="A959" s="9"/>
      <c r="B959" s="31" t="s">
        <v>2626</v>
      </c>
      <c r="C959" s="32" t="s">
        <v>2623</v>
      </c>
      <c r="D959" s="14" t="s">
        <v>1181</v>
      </c>
    </row>
    <row r="960" spans="1:4" ht="15.75" customHeight="1">
      <c r="A960" s="9" t="s">
        <v>1332</v>
      </c>
      <c r="B960" s="37" t="s">
        <v>2669</v>
      </c>
      <c r="C960" s="34" t="s">
        <v>2608</v>
      </c>
      <c r="D960" s="14" t="s">
        <v>2096</v>
      </c>
    </row>
    <row r="961" spans="1:4" ht="19.5" customHeight="1">
      <c r="A961" s="9"/>
      <c r="B961" s="38" t="s">
        <v>420</v>
      </c>
      <c r="C961" s="30" t="s">
        <v>2609</v>
      </c>
      <c r="D961" s="14" t="s">
        <v>422</v>
      </c>
    </row>
    <row r="962" spans="1:4" ht="19.5" customHeight="1">
      <c r="A962" s="9"/>
      <c r="B962" s="38" t="s">
        <v>420</v>
      </c>
      <c r="C962" s="30" t="s">
        <v>2670</v>
      </c>
      <c r="D962" s="14" t="s">
        <v>422</v>
      </c>
    </row>
    <row r="963" spans="1:4" ht="16.5" customHeight="1">
      <c r="A963" s="9"/>
      <c r="B963" s="38" t="s">
        <v>420</v>
      </c>
      <c r="C963" s="30" t="s">
        <v>2609</v>
      </c>
      <c r="D963" s="14" t="s">
        <v>422</v>
      </c>
    </row>
    <row r="964" spans="1:4" ht="13.5" customHeight="1">
      <c r="A964" s="9"/>
      <c r="B964" s="38" t="s">
        <v>2671</v>
      </c>
      <c r="C964" s="34" t="s">
        <v>2608</v>
      </c>
      <c r="D964" s="14" t="s">
        <v>2107</v>
      </c>
    </row>
    <row r="965" spans="1:4" ht="16.5" customHeight="1">
      <c r="A965" s="9"/>
      <c r="B965" s="38" t="s">
        <v>2672</v>
      </c>
      <c r="C965" s="34" t="s">
        <v>2608</v>
      </c>
      <c r="D965" s="14" t="s">
        <v>2673</v>
      </c>
    </row>
    <row r="966" spans="1:4" ht="15" customHeight="1">
      <c r="A966" s="9"/>
      <c r="B966" s="38" t="s">
        <v>2674</v>
      </c>
      <c r="C966" s="36">
        <v>2</v>
      </c>
      <c r="D966" s="14" t="s">
        <v>2377</v>
      </c>
    </row>
    <row r="967" spans="1:4" ht="13.5" customHeight="1">
      <c r="A967" s="9"/>
      <c r="B967" s="38" t="s">
        <v>2617</v>
      </c>
      <c r="C967" s="36">
        <v>1</v>
      </c>
      <c r="D967" s="14" t="s">
        <v>2293</v>
      </c>
    </row>
    <row r="968" spans="1:4" ht="15" customHeight="1">
      <c r="A968" s="9"/>
      <c r="B968" s="38" t="s">
        <v>2675</v>
      </c>
      <c r="C968" s="36">
        <v>2</v>
      </c>
      <c r="D968" s="14" t="s">
        <v>1105</v>
      </c>
    </row>
    <row r="969" spans="1:4" ht="15" customHeight="1">
      <c r="A969" s="9"/>
      <c r="B969" s="39" t="s">
        <v>2676</v>
      </c>
      <c r="C969" s="32">
        <v>1</v>
      </c>
      <c r="D969" s="14" t="s">
        <v>530</v>
      </c>
    </row>
    <row r="970" spans="1:4" ht="15" customHeight="1">
      <c r="A970" s="9" t="s">
        <v>1334</v>
      </c>
      <c r="B970" s="37" t="s">
        <v>2677</v>
      </c>
      <c r="C970" s="34" t="s">
        <v>2608</v>
      </c>
      <c r="D970" s="14" t="s">
        <v>2232</v>
      </c>
    </row>
    <row r="971" spans="1:4" ht="15" customHeight="1">
      <c r="A971" s="9"/>
      <c r="B971" s="38" t="s">
        <v>420</v>
      </c>
      <c r="C971" s="30" t="s">
        <v>2609</v>
      </c>
      <c r="D971" s="14" t="s">
        <v>422</v>
      </c>
    </row>
    <row r="972" spans="1:4" ht="16.5" customHeight="1">
      <c r="A972" s="9"/>
      <c r="B972" s="38" t="s">
        <v>420</v>
      </c>
      <c r="C972" s="30" t="s">
        <v>2670</v>
      </c>
      <c r="D972" s="14" t="s">
        <v>422</v>
      </c>
    </row>
    <row r="973" spans="1:4" ht="15" customHeight="1">
      <c r="A973" s="9"/>
      <c r="B973" s="38" t="s">
        <v>420</v>
      </c>
      <c r="C973" s="30" t="s">
        <v>2609</v>
      </c>
      <c r="D973" s="14" t="s">
        <v>422</v>
      </c>
    </row>
    <row r="974" spans="1:4" ht="15" customHeight="1">
      <c r="A974" s="9"/>
      <c r="B974" s="38" t="s">
        <v>2671</v>
      </c>
      <c r="C974" s="34" t="s">
        <v>2608</v>
      </c>
      <c r="D974" s="14" t="s">
        <v>2107</v>
      </c>
    </row>
    <row r="975" spans="1:4" ht="15" customHeight="1">
      <c r="A975" s="9"/>
      <c r="B975" s="38" t="s">
        <v>2672</v>
      </c>
      <c r="C975" s="34" t="s">
        <v>2608</v>
      </c>
      <c r="D975" s="14" t="s">
        <v>2673</v>
      </c>
    </row>
    <row r="976" spans="1:4" ht="13.5" customHeight="1">
      <c r="A976" s="9"/>
      <c r="B976" s="38" t="s">
        <v>2674</v>
      </c>
      <c r="C976" s="36">
        <v>2</v>
      </c>
      <c r="D976" s="14" t="s">
        <v>2377</v>
      </c>
    </row>
    <row r="977" spans="1:4" ht="12" customHeight="1">
      <c r="A977" s="9"/>
      <c r="B977" s="38" t="s">
        <v>2617</v>
      </c>
      <c r="C977" s="36">
        <v>1</v>
      </c>
      <c r="D977" s="14" t="s">
        <v>2293</v>
      </c>
    </row>
    <row r="978" spans="1:4" ht="13.5" customHeight="1">
      <c r="A978" s="9"/>
      <c r="B978" s="38" t="s">
        <v>2675</v>
      </c>
      <c r="C978" s="36">
        <v>2</v>
      </c>
      <c r="D978" s="14" t="s">
        <v>1105</v>
      </c>
    </row>
    <row r="979" spans="1:4" ht="19.5" customHeight="1">
      <c r="A979" s="9"/>
      <c r="B979" s="39" t="s">
        <v>2676</v>
      </c>
      <c r="C979" s="32">
        <v>1</v>
      </c>
      <c r="D979" s="14" t="s">
        <v>530</v>
      </c>
    </row>
    <row r="980" spans="1:4" ht="19.5" customHeight="1">
      <c r="A980" s="9" t="s">
        <v>1336</v>
      </c>
      <c r="B980" s="37" t="s">
        <v>2678</v>
      </c>
      <c r="C980" s="34" t="s">
        <v>2608</v>
      </c>
      <c r="D980" s="14" t="s">
        <v>2240</v>
      </c>
    </row>
    <row r="981" spans="1:4" ht="19.5" customHeight="1">
      <c r="A981" s="9"/>
      <c r="B981" s="38" t="s">
        <v>420</v>
      </c>
      <c r="C981" s="30" t="s">
        <v>2609</v>
      </c>
      <c r="D981" s="14" t="s">
        <v>422</v>
      </c>
    </row>
    <row r="982" spans="1:4" ht="19.5" customHeight="1">
      <c r="A982" s="9"/>
      <c r="B982" s="38" t="s">
        <v>420</v>
      </c>
      <c r="C982" s="30" t="s">
        <v>2670</v>
      </c>
      <c r="D982" s="14" t="s">
        <v>422</v>
      </c>
    </row>
    <row r="983" spans="1:4" ht="19.5" customHeight="1">
      <c r="A983" s="9"/>
      <c r="B983" s="38" t="s">
        <v>420</v>
      </c>
      <c r="C983" s="30" t="s">
        <v>2609</v>
      </c>
      <c r="D983" s="14" t="s">
        <v>422</v>
      </c>
    </row>
    <row r="984" spans="1:4" ht="19.5" customHeight="1">
      <c r="A984" s="9"/>
      <c r="B984" s="38" t="s">
        <v>2671</v>
      </c>
      <c r="C984" s="34" t="s">
        <v>2608</v>
      </c>
      <c r="D984" s="14" t="s">
        <v>2107</v>
      </c>
    </row>
    <row r="985" spans="1:4" ht="19.5" customHeight="1">
      <c r="A985" s="9"/>
      <c r="B985" s="38" t="s">
        <v>2672</v>
      </c>
      <c r="C985" s="34" t="s">
        <v>2608</v>
      </c>
      <c r="D985" s="14" t="s">
        <v>2673</v>
      </c>
    </row>
    <row r="986" spans="1:4" ht="19.5" customHeight="1">
      <c r="A986" s="9"/>
      <c r="B986" s="38" t="s">
        <v>2674</v>
      </c>
      <c r="C986" s="36">
        <v>2</v>
      </c>
      <c r="D986" s="14" t="s">
        <v>2377</v>
      </c>
    </row>
    <row r="987" spans="1:4" ht="19.5" customHeight="1">
      <c r="A987" s="9"/>
      <c r="B987" s="38" t="s">
        <v>2617</v>
      </c>
      <c r="C987" s="36">
        <v>1</v>
      </c>
      <c r="D987" s="14" t="s">
        <v>2293</v>
      </c>
    </row>
    <row r="988" spans="1:4" ht="19.5" customHeight="1">
      <c r="A988" s="9"/>
      <c r="B988" s="38" t="s">
        <v>2675</v>
      </c>
      <c r="C988" s="36">
        <v>2</v>
      </c>
      <c r="D988" s="14" t="s">
        <v>1105</v>
      </c>
    </row>
    <row r="989" spans="1:4" ht="19.5" customHeight="1">
      <c r="A989" s="9"/>
      <c r="B989" s="39" t="s">
        <v>2676</v>
      </c>
      <c r="C989" s="32">
        <v>1</v>
      </c>
      <c r="D989" s="14" t="s">
        <v>530</v>
      </c>
    </row>
    <row r="990" spans="1:4" ht="19.5" customHeight="1">
      <c r="A990" s="9" t="s">
        <v>1338</v>
      </c>
      <c r="B990" s="37" t="s">
        <v>2669</v>
      </c>
      <c r="C990" s="34" t="s">
        <v>2608</v>
      </c>
      <c r="D990" s="14" t="s">
        <v>2096</v>
      </c>
    </row>
    <row r="991" spans="1:4" ht="19.5" customHeight="1">
      <c r="A991" s="9"/>
      <c r="B991" s="38" t="s">
        <v>420</v>
      </c>
      <c r="C991" s="30" t="s">
        <v>2609</v>
      </c>
      <c r="D991" s="14" t="s">
        <v>422</v>
      </c>
    </row>
    <row r="992" spans="1:4" ht="19.5" customHeight="1">
      <c r="A992" s="9"/>
      <c r="B992" s="38" t="s">
        <v>420</v>
      </c>
      <c r="C992" s="30" t="s">
        <v>2609</v>
      </c>
      <c r="D992" s="14" t="s">
        <v>422</v>
      </c>
    </row>
    <row r="993" spans="1:4" ht="19.5" customHeight="1">
      <c r="A993" s="9"/>
      <c r="B993" s="38" t="s">
        <v>420</v>
      </c>
      <c r="C993" s="30" t="s">
        <v>2670</v>
      </c>
      <c r="D993" s="14" t="s">
        <v>422</v>
      </c>
    </row>
    <row r="994" spans="1:4" ht="19.5" customHeight="1">
      <c r="A994" s="9"/>
      <c r="B994" s="38" t="s">
        <v>2671</v>
      </c>
      <c r="C994" s="34" t="s">
        <v>2608</v>
      </c>
      <c r="D994" s="14" t="s">
        <v>2107</v>
      </c>
    </row>
    <row r="995" spans="1:4" ht="19.5" customHeight="1">
      <c r="A995" s="9"/>
      <c r="B995" s="38" t="s">
        <v>2679</v>
      </c>
      <c r="C995" s="34" t="s">
        <v>2608</v>
      </c>
      <c r="D995" s="14" t="s">
        <v>462</v>
      </c>
    </row>
    <row r="996" spans="1:4" ht="19.5" customHeight="1">
      <c r="A996" s="9"/>
      <c r="B996" s="38" t="s">
        <v>2672</v>
      </c>
      <c r="C996" s="34" t="s">
        <v>2608</v>
      </c>
      <c r="D996" s="14" t="s">
        <v>2673</v>
      </c>
    </row>
    <row r="997" spans="1:4" ht="19.5" customHeight="1">
      <c r="A997" s="9"/>
      <c r="B997" s="38" t="s">
        <v>2674</v>
      </c>
      <c r="C997" s="36">
        <v>2</v>
      </c>
      <c r="D997" s="14" t="s">
        <v>2377</v>
      </c>
    </row>
    <row r="998" spans="1:4" ht="19.5" customHeight="1">
      <c r="A998" s="9"/>
      <c r="B998" s="38" t="s">
        <v>2617</v>
      </c>
      <c r="C998" s="36">
        <v>1</v>
      </c>
      <c r="D998" s="14" t="s">
        <v>2293</v>
      </c>
    </row>
    <row r="999" spans="1:4" ht="19.5" customHeight="1">
      <c r="A999" s="9"/>
      <c r="B999" s="38" t="s">
        <v>2675</v>
      </c>
      <c r="C999" s="36">
        <v>2</v>
      </c>
      <c r="D999" s="14" t="s">
        <v>1105</v>
      </c>
    </row>
    <row r="1000" spans="1:4" ht="19.5" customHeight="1">
      <c r="A1000" s="9"/>
      <c r="B1000" s="39" t="s">
        <v>2676</v>
      </c>
      <c r="C1000" s="32">
        <v>1</v>
      </c>
      <c r="D1000" s="14" t="s">
        <v>530</v>
      </c>
    </row>
    <row r="1001" spans="1:4" ht="19.5" customHeight="1">
      <c r="A1001" s="9" t="s">
        <v>1340</v>
      </c>
      <c r="B1001" s="37" t="s">
        <v>2680</v>
      </c>
      <c r="C1001" s="34" t="s">
        <v>2608</v>
      </c>
      <c r="D1001" s="14" t="s">
        <v>2232</v>
      </c>
    </row>
    <row r="1002" spans="1:4" ht="19.5" customHeight="1">
      <c r="A1002" s="9"/>
      <c r="B1002" s="38" t="s">
        <v>420</v>
      </c>
      <c r="C1002" s="30" t="s">
        <v>2609</v>
      </c>
      <c r="D1002" s="14" t="s">
        <v>422</v>
      </c>
    </row>
    <row r="1003" spans="1:4" ht="19.5" customHeight="1">
      <c r="A1003" s="9"/>
      <c r="B1003" s="38" t="s">
        <v>420</v>
      </c>
      <c r="C1003" s="30" t="s">
        <v>2670</v>
      </c>
      <c r="D1003" s="14" t="s">
        <v>422</v>
      </c>
    </row>
    <row r="1004" spans="1:4" ht="19.5" customHeight="1">
      <c r="A1004" s="9"/>
      <c r="B1004" s="38" t="s">
        <v>420</v>
      </c>
      <c r="C1004" s="30" t="s">
        <v>2609</v>
      </c>
      <c r="D1004" s="14" t="s">
        <v>422</v>
      </c>
    </row>
    <row r="1005" spans="1:4" ht="16.5" customHeight="1">
      <c r="A1005" s="9"/>
      <c r="B1005" s="38" t="s">
        <v>2679</v>
      </c>
      <c r="C1005" s="34" t="s">
        <v>2608</v>
      </c>
      <c r="D1005" s="14" t="s">
        <v>462</v>
      </c>
    </row>
    <row r="1006" spans="1:4" ht="15" customHeight="1">
      <c r="A1006" s="9"/>
      <c r="B1006" s="38" t="s">
        <v>2671</v>
      </c>
      <c r="C1006" s="34" t="s">
        <v>2608</v>
      </c>
      <c r="D1006" s="14" t="s">
        <v>2107</v>
      </c>
    </row>
    <row r="1007" spans="1:4" ht="15" customHeight="1">
      <c r="A1007" s="9"/>
      <c r="B1007" s="38" t="s">
        <v>2672</v>
      </c>
      <c r="C1007" s="34" t="s">
        <v>2608</v>
      </c>
      <c r="D1007" s="14" t="s">
        <v>2673</v>
      </c>
    </row>
    <row r="1008" spans="1:4" ht="15" customHeight="1">
      <c r="A1008" s="9"/>
      <c r="B1008" s="38" t="s">
        <v>2674</v>
      </c>
      <c r="C1008" s="36">
        <v>2</v>
      </c>
      <c r="D1008" s="14" t="s">
        <v>2377</v>
      </c>
    </row>
    <row r="1009" spans="1:4" ht="15" customHeight="1">
      <c r="A1009" s="9"/>
      <c r="B1009" s="38" t="s">
        <v>2617</v>
      </c>
      <c r="C1009" s="36">
        <v>1</v>
      </c>
      <c r="D1009" s="14" t="s">
        <v>2293</v>
      </c>
    </row>
    <row r="1010" spans="1:4" ht="15" customHeight="1">
      <c r="A1010" s="9"/>
      <c r="B1010" s="38" t="s">
        <v>2675</v>
      </c>
      <c r="C1010" s="36">
        <v>2</v>
      </c>
      <c r="D1010" s="14" t="s">
        <v>1105</v>
      </c>
    </row>
    <row r="1011" spans="1:4" ht="15" customHeight="1">
      <c r="A1011" s="9"/>
      <c r="B1011" s="39" t="s">
        <v>2676</v>
      </c>
      <c r="C1011" s="32">
        <v>1</v>
      </c>
      <c r="D1011" s="14" t="s">
        <v>530</v>
      </c>
    </row>
    <row r="1012" spans="1:4" ht="15" customHeight="1">
      <c r="A1012" s="9" t="s">
        <v>1342</v>
      </c>
      <c r="B1012" s="37" t="s">
        <v>2678</v>
      </c>
      <c r="C1012" s="34" t="s">
        <v>2608</v>
      </c>
      <c r="D1012" s="14" t="s">
        <v>2240</v>
      </c>
    </row>
    <row r="1013" spans="1:4" ht="15" customHeight="1">
      <c r="A1013" s="9"/>
      <c r="B1013" s="38" t="s">
        <v>420</v>
      </c>
      <c r="C1013" s="30" t="s">
        <v>2609</v>
      </c>
      <c r="D1013" s="14" t="s">
        <v>422</v>
      </c>
    </row>
    <row r="1014" spans="1:4" ht="15" customHeight="1">
      <c r="A1014" s="9"/>
      <c r="B1014" s="38" t="s">
        <v>420</v>
      </c>
      <c r="C1014" s="30" t="s">
        <v>2670</v>
      </c>
      <c r="D1014" s="14" t="s">
        <v>422</v>
      </c>
    </row>
    <row r="1015" spans="1:4" ht="15" customHeight="1">
      <c r="A1015" s="9"/>
      <c r="B1015" s="38" t="s">
        <v>420</v>
      </c>
      <c r="C1015" s="30" t="s">
        <v>2609</v>
      </c>
      <c r="D1015" s="14" t="s">
        <v>422</v>
      </c>
    </row>
    <row r="1016" spans="1:4" ht="15" customHeight="1">
      <c r="A1016" s="9"/>
      <c r="B1016" s="38" t="s">
        <v>2671</v>
      </c>
      <c r="C1016" s="34" t="s">
        <v>2608</v>
      </c>
      <c r="D1016" s="14" t="s">
        <v>2107</v>
      </c>
    </row>
    <row r="1017" spans="1:4" ht="15" customHeight="1">
      <c r="A1017" s="9"/>
      <c r="B1017" s="38" t="s">
        <v>2679</v>
      </c>
      <c r="C1017" s="34" t="s">
        <v>2608</v>
      </c>
      <c r="D1017" s="14" t="s">
        <v>462</v>
      </c>
    </row>
    <row r="1018" spans="1:4" ht="15" customHeight="1">
      <c r="A1018" s="9"/>
      <c r="B1018" s="38" t="s">
        <v>2672</v>
      </c>
      <c r="C1018" s="34" t="s">
        <v>2608</v>
      </c>
      <c r="D1018" s="14" t="s">
        <v>2673</v>
      </c>
    </row>
    <row r="1019" spans="1:4" ht="15" customHeight="1">
      <c r="A1019" s="9"/>
      <c r="B1019" s="38" t="s">
        <v>2674</v>
      </c>
      <c r="C1019" s="36">
        <v>2</v>
      </c>
      <c r="D1019" s="14" t="s">
        <v>2377</v>
      </c>
    </row>
    <row r="1020" spans="1:4" ht="14.25" customHeight="1">
      <c r="A1020" s="9"/>
      <c r="B1020" s="38" t="s">
        <v>2617</v>
      </c>
      <c r="C1020" s="36">
        <v>1</v>
      </c>
      <c r="D1020" s="14" t="s">
        <v>2293</v>
      </c>
    </row>
    <row r="1021" spans="1:4" ht="17.25" customHeight="1">
      <c r="A1021" s="9"/>
      <c r="B1021" s="38" t="s">
        <v>2675</v>
      </c>
      <c r="C1021" s="36">
        <v>2</v>
      </c>
      <c r="D1021" s="14" t="s">
        <v>1105</v>
      </c>
    </row>
    <row r="1022" spans="1:4" ht="19.5" customHeight="1">
      <c r="A1022" s="9"/>
      <c r="B1022" s="39" t="s">
        <v>2676</v>
      </c>
      <c r="C1022" s="32">
        <v>1</v>
      </c>
      <c r="D1022" s="14" t="s">
        <v>530</v>
      </c>
    </row>
    <row r="1023" spans="1:4" ht="19.5" customHeight="1">
      <c r="A1023" s="9" t="s">
        <v>1344</v>
      </c>
      <c r="B1023" s="37" t="s">
        <v>2669</v>
      </c>
      <c r="C1023" s="34" t="s">
        <v>2608</v>
      </c>
      <c r="D1023" s="14" t="s">
        <v>2096</v>
      </c>
    </row>
    <row r="1024" spans="1:4" ht="19.5" customHeight="1">
      <c r="A1024" s="9"/>
      <c r="B1024" s="38" t="s">
        <v>420</v>
      </c>
      <c r="C1024" s="30" t="s">
        <v>2609</v>
      </c>
      <c r="D1024" s="14" t="s">
        <v>422</v>
      </c>
    </row>
    <row r="1025" spans="1:4" ht="19.5" customHeight="1">
      <c r="A1025" s="9"/>
      <c r="B1025" s="38" t="s">
        <v>420</v>
      </c>
      <c r="C1025" s="30" t="s">
        <v>2670</v>
      </c>
      <c r="D1025" s="14" t="s">
        <v>422</v>
      </c>
    </row>
    <row r="1026" spans="1:4" ht="19.5" customHeight="1">
      <c r="A1026" s="9"/>
      <c r="B1026" s="38" t="s">
        <v>420</v>
      </c>
      <c r="C1026" s="30" t="s">
        <v>2609</v>
      </c>
      <c r="D1026" s="14" t="s">
        <v>422</v>
      </c>
    </row>
    <row r="1027" spans="1:4" ht="19.5" customHeight="1">
      <c r="A1027" s="9"/>
      <c r="B1027" s="38" t="s">
        <v>2671</v>
      </c>
      <c r="C1027" s="34" t="s">
        <v>2608</v>
      </c>
      <c r="D1027" s="14" t="s">
        <v>2107</v>
      </c>
    </row>
    <row r="1028" spans="1:4" ht="19.5" customHeight="1">
      <c r="A1028" s="9"/>
      <c r="B1028" s="38" t="s">
        <v>2672</v>
      </c>
      <c r="C1028" s="34" t="s">
        <v>2608</v>
      </c>
      <c r="D1028" s="14" t="s">
        <v>2673</v>
      </c>
    </row>
    <row r="1029" spans="1:4" ht="19.5" customHeight="1">
      <c r="A1029" s="9"/>
      <c r="B1029" s="38" t="s">
        <v>2674</v>
      </c>
      <c r="C1029" s="36">
        <v>4</v>
      </c>
      <c r="D1029" s="14" t="s">
        <v>2377</v>
      </c>
    </row>
    <row r="1030" spans="1:4" ht="19.5" customHeight="1">
      <c r="A1030" s="9"/>
      <c r="B1030" s="38" t="s">
        <v>2681</v>
      </c>
      <c r="C1030" s="36">
        <v>2</v>
      </c>
      <c r="D1030" s="14" t="s">
        <v>2682</v>
      </c>
    </row>
    <row r="1031" spans="1:4" ht="19.5" customHeight="1">
      <c r="A1031" s="9"/>
      <c r="B1031" s="38" t="s">
        <v>2675</v>
      </c>
      <c r="C1031" s="36">
        <v>4</v>
      </c>
      <c r="D1031" s="14" t="s">
        <v>1105</v>
      </c>
    </row>
    <row r="1032" spans="1:4" ht="19.5" customHeight="1">
      <c r="A1032" s="9"/>
      <c r="B1032" s="39" t="s">
        <v>2676</v>
      </c>
      <c r="C1032" s="32">
        <v>2</v>
      </c>
      <c r="D1032" s="14" t="s">
        <v>530</v>
      </c>
    </row>
    <row r="1033" spans="1:4" ht="19.5" customHeight="1">
      <c r="A1033" s="9" t="s">
        <v>1346</v>
      </c>
      <c r="B1033" s="37" t="s">
        <v>2680</v>
      </c>
      <c r="C1033" s="34" t="s">
        <v>2608</v>
      </c>
      <c r="D1033" s="14" t="s">
        <v>2232</v>
      </c>
    </row>
    <row r="1034" spans="1:4" ht="19.5" customHeight="1">
      <c r="A1034" s="9"/>
      <c r="B1034" s="38" t="s">
        <v>420</v>
      </c>
      <c r="C1034" s="30" t="s">
        <v>2609</v>
      </c>
      <c r="D1034" s="14" t="s">
        <v>422</v>
      </c>
    </row>
    <row r="1035" spans="1:4" ht="19.5" customHeight="1">
      <c r="A1035" s="9"/>
      <c r="B1035" s="38" t="s">
        <v>420</v>
      </c>
      <c r="C1035" s="30" t="s">
        <v>2670</v>
      </c>
      <c r="D1035" s="14" t="s">
        <v>422</v>
      </c>
    </row>
    <row r="1036" spans="1:4" ht="19.5" customHeight="1">
      <c r="A1036" s="9"/>
      <c r="B1036" s="38" t="s">
        <v>420</v>
      </c>
      <c r="C1036" s="30" t="s">
        <v>2609</v>
      </c>
      <c r="D1036" s="14" t="s">
        <v>422</v>
      </c>
    </row>
    <row r="1037" spans="1:4" ht="19.5" customHeight="1">
      <c r="A1037" s="9"/>
      <c r="B1037" s="38" t="s">
        <v>2671</v>
      </c>
      <c r="C1037" s="34" t="s">
        <v>2608</v>
      </c>
      <c r="D1037" s="14" t="s">
        <v>2107</v>
      </c>
    </row>
    <row r="1038" spans="1:4" ht="19.5" customHeight="1">
      <c r="A1038" s="9"/>
      <c r="B1038" s="38" t="s">
        <v>2672</v>
      </c>
      <c r="C1038" s="34" t="s">
        <v>2608</v>
      </c>
      <c r="D1038" s="14" t="s">
        <v>2673</v>
      </c>
    </row>
    <row r="1039" spans="1:4" ht="19.5" customHeight="1">
      <c r="A1039" s="9"/>
      <c r="B1039" s="38" t="s">
        <v>2674</v>
      </c>
      <c r="C1039" s="36">
        <v>4</v>
      </c>
      <c r="D1039" s="14" t="s">
        <v>2377</v>
      </c>
    </row>
    <row r="1040" spans="1:4" ht="19.5" customHeight="1">
      <c r="A1040" s="9"/>
      <c r="B1040" s="38" t="s">
        <v>2681</v>
      </c>
      <c r="C1040" s="36">
        <v>2</v>
      </c>
      <c r="D1040" s="14" t="s">
        <v>2682</v>
      </c>
    </row>
    <row r="1041" spans="1:4" ht="19.5" customHeight="1">
      <c r="A1041" s="9"/>
      <c r="B1041" s="38" t="s">
        <v>2675</v>
      </c>
      <c r="C1041" s="36">
        <v>4</v>
      </c>
      <c r="D1041" s="14" t="s">
        <v>1105</v>
      </c>
    </row>
    <row r="1042" spans="1:4" ht="19.5" customHeight="1">
      <c r="A1042" s="9"/>
      <c r="B1042" s="39" t="s">
        <v>2676</v>
      </c>
      <c r="C1042" s="32">
        <v>2</v>
      </c>
      <c r="D1042" s="14" t="s">
        <v>530</v>
      </c>
    </row>
    <row r="1043" spans="1:4" ht="19.5" customHeight="1">
      <c r="A1043" s="9" t="s">
        <v>1348</v>
      </c>
      <c r="B1043" s="37" t="s">
        <v>2678</v>
      </c>
      <c r="C1043" s="34" t="s">
        <v>2608</v>
      </c>
      <c r="D1043" s="14" t="s">
        <v>2240</v>
      </c>
    </row>
    <row r="1044" spans="1:4" ht="19.5" customHeight="1">
      <c r="A1044" s="9"/>
      <c r="B1044" s="38" t="s">
        <v>420</v>
      </c>
      <c r="C1044" s="30" t="s">
        <v>2670</v>
      </c>
      <c r="D1044" s="14" t="s">
        <v>422</v>
      </c>
    </row>
    <row r="1045" spans="1:4" ht="19.5" customHeight="1">
      <c r="A1045" s="9"/>
      <c r="B1045" s="38" t="s">
        <v>420</v>
      </c>
      <c r="C1045" s="30" t="s">
        <v>2609</v>
      </c>
      <c r="D1045" s="14" t="s">
        <v>422</v>
      </c>
    </row>
    <row r="1046" spans="1:4" ht="19.5" customHeight="1">
      <c r="A1046" s="9"/>
      <c r="B1046" s="38" t="s">
        <v>420</v>
      </c>
      <c r="C1046" s="30" t="s">
        <v>2609</v>
      </c>
      <c r="D1046" s="14" t="s">
        <v>422</v>
      </c>
    </row>
    <row r="1047" spans="1:4" ht="19.5" customHeight="1">
      <c r="A1047" s="9"/>
      <c r="B1047" s="38" t="s">
        <v>2671</v>
      </c>
      <c r="C1047" s="34" t="s">
        <v>2608</v>
      </c>
      <c r="D1047" s="14" t="s">
        <v>2107</v>
      </c>
    </row>
    <row r="1048" spans="1:4" ht="19.5" customHeight="1">
      <c r="A1048" s="9"/>
      <c r="B1048" s="38" t="s">
        <v>2672</v>
      </c>
      <c r="C1048" s="34" t="s">
        <v>2608</v>
      </c>
      <c r="D1048" s="14" t="s">
        <v>2673</v>
      </c>
    </row>
    <row r="1049" spans="1:4" ht="19.5" customHeight="1">
      <c r="A1049" s="9"/>
      <c r="B1049" s="38" t="s">
        <v>2674</v>
      </c>
      <c r="C1049" s="36">
        <v>4</v>
      </c>
      <c r="D1049" s="14" t="s">
        <v>2377</v>
      </c>
    </row>
    <row r="1050" spans="1:4" ht="19.5" customHeight="1">
      <c r="A1050" s="9"/>
      <c r="B1050" s="38" t="s">
        <v>2681</v>
      </c>
      <c r="C1050" s="36">
        <v>2</v>
      </c>
      <c r="D1050" s="14" t="s">
        <v>2682</v>
      </c>
    </row>
    <row r="1051" spans="1:4" ht="19.5" customHeight="1">
      <c r="A1051" s="9"/>
      <c r="B1051" s="38" t="s">
        <v>2675</v>
      </c>
      <c r="C1051" s="36">
        <v>4</v>
      </c>
      <c r="D1051" s="14" t="s">
        <v>1105</v>
      </c>
    </row>
    <row r="1052" spans="1:4" ht="19.5" customHeight="1">
      <c r="A1052" s="9"/>
      <c r="B1052" s="39" t="s">
        <v>2676</v>
      </c>
      <c r="C1052" s="32">
        <v>2</v>
      </c>
      <c r="D1052" s="14" t="s">
        <v>530</v>
      </c>
    </row>
    <row r="1053" spans="1:4" ht="19.5" customHeight="1">
      <c r="A1053" s="9" t="s">
        <v>1350</v>
      </c>
      <c r="B1053" s="37" t="s">
        <v>2669</v>
      </c>
      <c r="C1053" s="34" t="s">
        <v>2608</v>
      </c>
      <c r="D1053" s="14" t="s">
        <v>2096</v>
      </c>
    </row>
    <row r="1054" spans="1:4" ht="19.5" customHeight="1">
      <c r="A1054" s="9"/>
      <c r="B1054" s="38" t="s">
        <v>420</v>
      </c>
      <c r="C1054" s="30" t="s">
        <v>2609</v>
      </c>
      <c r="D1054" s="14" t="s">
        <v>422</v>
      </c>
    </row>
    <row r="1055" spans="1:4" ht="19.5" customHeight="1">
      <c r="A1055" s="9"/>
      <c r="B1055" s="38" t="s">
        <v>420</v>
      </c>
      <c r="C1055" s="30" t="s">
        <v>2609</v>
      </c>
      <c r="D1055" s="14" t="s">
        <v>422</v>
      </c>
    </row>
    <row r="1056" spans="1:4" ht="15.75" customHeight="1">
      <c r="A1056" s="9"/>
      <c r="B1056" s="38" t="s">
        <v>420</v>
      </c>
      <c r="C1056" s="30" t="s">
        <v>2670</v>
      </c>
      <c r="D1056" s="14" t="s">
        <v>422</v>
      </c>
    </row>
    <row r="1057" spans="1:4" ht="15.75" customHeight="1">
      <c r="A1057" s="9"/>
      <c r="B1057" s="38" t="s">
        <v>2683</v>
      </c>
      <c r="C1057" s="34" t="s">
        <v>2608</v>
      </c>
      <c r="D1057" s="14" t="s">
        <v>2109</v>
      </c>
    </row>
    <row r="1058" spans="1:4" ht="16.5" customHeight="1">
      <c r="A1058" s="9"/>
      <c r="B1058" s="38" t="s">
        <v>2672</v>
      </c>
      <c r="C1058" s="34" t="s">
        <v>2608</v>
      </c>
      <c r="D1058" s="14" t="s">
        <v>2673</v>
      </c>
    </row>
    <row r="1059" spans="1:4" ht="16.5" customHeight="1">
      <c r="A1059" s="9"/>
      <c r="B1059" s="38" t="s">
        <v>2674</v>
      </c>
      <c r="C1059" s="36">
        <v>2</v>
      </c>
      <c r="D1059" s="14" t="s">
        <v>2377</v>
      </c>
    </row>
    <row r="1060" spans="1:4" ht="16.5" customHeight="1">
      <c r="A1060" s="9"/>
      <c r="B1060" s="38" t="s">
        <v>2617</v>
      </c>
      <c r="C1060" s="36">
        <v>1</v>
      </c>
      <c r="D1060" s="14" t="s">
        <v>2293</v>
      </c>
    </row>
    <row r="1061" spans="1:4" ht="17.25" customHeight="1">
      <c r="A1061" s="9"/>
      <c r="B1061" s="38" t="s">
        <v>2675</v>
      </c>
      <c r="C1061" s="36">
        <v>2</v>
      </c>
      <c r="D1061" s="14" t="s">
        <v>1105</v>
      </c>
    </row>
    <row r="1062" spans="1:4" ht="19.5" customHeight="1">
      <c r="A1062" s="9"/>
      <c r="B1062" s="39" t="s">
        <v>2676</v>
      </c>
      <c r="C1062" s="32">
        <v>1</v>
      </c>
      <c r="D1062" s="14" t="s">
        <v>530</v>
      </c>
    </row>
    <row r="1063" spans="1:4" ht="19.5" customHeight="1">
      <c r="A1063" s="9" t="s">
        <v>1352</v>
      </c>
      <c r="B1063" s="37" t="s">
        <v>2684</v>
      </c>
      <c r="C1063" s="34" t="s">
        <v>2608</v>
      </c>
      <c r="D1063" s="14" t="s">
        <v>2232</v>
      </c>
    </row>
    <row r="1064" spans="1:4" ht="19.5" customHeight="1">
      <c r="A1064" s="9"/>
      <c r="B1064" s="38" t="s">
        <v>420</v>
      </c>
      <c r="C1064" s="30" t="s">
        <v>2670</v>
      </c>
      <c r="D1064" s="14" t="s">
        <v>422</v>
      </c>
    </row>
    <row r="1065" spans="1:4" ht="19.5" customHeight="1">
      <c r="A1065" s="9"/>
      <c r="B1065" s="38" t="s">
        <v>420</v>
      </c>
      <c r="C1065" s="30" t="s">
        <v>2609</v>
      </c>
      <c r="D1065" s="14" t="s">
        <v>422</v>
      </c>
    </row>
    <row r="1066" spans="1:4" ht="19.5" customHeight="1">
      <c r="A1066" s="9"/>
      <c r="B1066" s="38" t="s">
        <v>420</v>
      </c>
      <c r="C1066" s="30" t="s">
        <v>2609</v>
      </c>
      <c r="D1066" s="14" t="s">
        <v>422</v>
      </c>
    </row>
    <row r="1067" spans="1:4" ht="19.5" customHeight="1">
      <c r="A1067" s="9"/>
      <c r="B1067" s="38" t="s">
        <v>2683</v>
      </c>
      <c r="C1067" s="34" t="s">
        <v>2608</v>
      </c>
      <c r="D1067" s="14" t="s">
        <v>2109</v>
      </c>
    </row>
    <row r="1068" spans="1:4" ht="19.5" customHeight="1">
      <c r="A1068" s="9"/>
      <c r="B1068" s="38" t="s">
        <v>2672</v>
      </c>
      <c r="C1068" s="34" t="s">
        <v>2608</v>
      </c>
      <c r="D1068" s="14" t="s">
        <v>2673</v>
      </c>
    </row>
    <row r="1069" spans="1:4" ht="19.5" customHeight="1">
      <c r="A1069" s="9"/>
      <c r="B1069" s="38" t="s">
        <v>2674</v>
      </c>
      <c r="C1069" s="36">
        <v>2</v>
      </c>
      <c r="D1069" s="14" t="s">
        <v>2377</v>
      </c>
    </row>
    <row r="1070" spans="1:4" ht="19.5" customHeight="1">
      <c r="A1070" s="9"/>
      <c r="B1070" s="38" t="s">
        <v>2617</v>
      </c>
      <c r="C1070" s="36">
        <v>1</v>
      </c>
      <c r="D1070" s="14" t="s">
        <v>2293</v>
      </c>
    </row>
    <row r="1071" spans="1:4" ht="19.5" customHeight="1">
      <c r="A1071" s="9"/>
      <c r="B1071" s="38" t="s">
        <v>2675</v>
      </c>
      <c r="C1071" s="36">
        <v>2</v>
      </c>
      <c r="D1071" s="14" t="s">
        <v>1105</v>
      </c>
    </row>
    <row r="1072" spans="1:4" ht="19.5" customHeight="1">
      <c r="A1072" s="9"/>
      <c r="B1072" s="39" t="s">
        <v>2676</v>
      </c>
      <c r="C1072" s="32">
        <v>1</v>
      </c>
      <c r="D1072" s="14" t="s">
        <v>530</v>
      </c>
    </row>
    <row r="1073" spans="1:4" ht="19.5" customHeight="1">
      <c r="A1073" s="9" t="s">
        <v>1354</v>
      </c>
      <c r="B1073" s="37" t="s">
        <v>2678</v>
      </c>
      <c r="C1073" s="34" t="s">
        <v>2608</v>
      </c>
      <c r="D1073" s="14" t="s">
        <v>2240</v>
      </c>
    </row>
    <row r="1074" spans="1:4" ht="19.5" customHeight="1">
      <c r="A1074" s="9"/>
      <c r="B1074" s="38" t="s">
        <v>420</v>
      </c>
      <c r="C1074" s="30" t="s">
        <v>2609</v>
      </c>
      <c r="D1074" s="14" t="s">
        <v>422</v>
      </c>
    </row>
    <row r="1075" spans="1:4" ht="19.5" customHeight="1">
      <c r="A1075" s="9"/>
      <c r="B1075" s="38" t="s">
        <v>420</v>
      </c>
      <c r="C1075" s="30" t="s">
        <v>2670</v>
      </c>
      <c r="D1075" s="14" t="s">
        <v>422</v>
      </c>
    </row>
    <row r="1076" spans="1:4" ht="19.5" customHeight="1">
      <c r="A1076" s="9"/>
      <c r="B1076" s="38" t="s">
        <v>420</v>
      </c>
      <c r="C1076" s="30" t="s">
        <v>2609</v>
      </c>
      <c r="D1076" s="14" t="s">
        <v>422</v>
      </c>
    </row>
    <row r="1077" spans="1:4" ht="19.5" customHeight="1">
      <c r="A1077" s="9"/>
      <c r="B1077" s="38" t="s">
        <v>2683</v>
      </c>
      <c r="C1077" s="34" t="s">
        <v>2608</v>
      </c>
      <c r="D1077" s="14" t="s">
        <v>2109</v>
      </c>
    </row>
    <row r="1078" spans="1:4" ht="19.5" customHeight="1">
      <c r="A1078" s="9"/>
      <c r="B1078" s="38" t="s">
        <v>2672</v>
      </c>
      <c r="C1078" s="34" t="s">
        <v>2608</v>
      </c>
      <c r="D1078" s="14" t="s">
        <v>2673</v>
      </c>
    </row>
    <row r="1079" spans="1:4" ht="19.5" customHeight="1">
      <c r="A1079" s="9"/>
      <c r="B1079" s="38" t="s">
        <v>2674</v>
      </c>
      <c r="C1079" s="36">
        <v>2</v>
      </c>
      <c r="D1079" s="14" t="s">
        <v>2377</v>
      </c>
    </row>
    <row r="1080" spans="1:4" ht="19.5" customHeight="1">
      <c r="A1080" s="9"/>
      <c r="B1080" s="38" t="s">
        <v>2617</v>
      </c>
      <c r="C1080" s="36">
        <v>1</v>
      </c>
      <c r="D1080" s="14" t="s">
        <v>2293</v>
      </c>
    </row>
    <row r="1081" spans="1:4" ht="19.5" customHeight="1">
      <c r="A1081" s="9"/>
      <c r="B1081" s="38" t="s">
        <v>2675</v>
      </c>
      <c r="C1081" s="36">
        <v>2</v>
      </c>
      <c r="D1081" s="14" t="s">
        <v>1105</v>
      </c>
    </row>
    <row r="1082" spans="1:4" ht="19.5" customHeight="1">
      <c r="A1082" s="9"/>
      <c r="B1082" s="39" t="s">
        <v>2676</v>
      </c>
      <c r="C1082" s="32">
        <v>1</v>
      </c>
      <c r="D1082" s="14" t="s">
        <v>530</v>
      </c>
    </row>
    <row r="1083" spans="1:4" ht="19.5" customHeight="1">
      <c r="A1083" s="9" t="s">
        <v>1356</v>
      </c>
      <c r="B1083" s="37" t="s">
        <v>2669</v>
      </c>
      <c r="C1083" s="34" t="s">
        <v>2608</v>
      </c>
      <c r="D1083" s="14" t="s">
        <v>2096</v>
      </c>
    </row>
    <row r="1084" spans="1:4" ht="19.5" customHeight="1">
      <c r="A1084" s="9"/>
      <c r="B1084" s="38" t="s">
        <v>2679</v>
      </c>
      <c r="C1084" s="34" t="s">
        <v>2608</v>
      </c>
      <c r="D1084" s="14" t="s">
        <v>462</v>
      </c>
    </row>
    <row r="1085" spans="1:4" ht="19.5" customHeight="1">
      <c r="A1085" s="9"/>
      <c r="B1085" s="38" t="s">
        <v>420</v>
      </c>
      <c r="C1085" s="30" t="s">
        <v>2670</v>
      </c>
      <c r="D1085" s="14" t="s">
        <v>422</v>
      </c>
    </row>
    <row r="1086" spans="1:4" ht="19.5" customHeight="1">
      <c r="A1086" s="9"/>
      <c r="B1086" s="38" t="s">
        <v>2683</v>
      </c>
      <c r="C1086" s="34" t="s">
        <v>2608</v>
      </c>
      <c r="D1086" s="14" t="s">
        <v>2109</v>
      </c>
    </row>
    <row r="1087" spans="1:4" ht="19.5" customHeight="1">
      <c r="A1087" s="9"/>
      <c r="B1087" s="38" t="s">
        <v>420</v>
      </c>
      <c r="C1087" s="30" t="s">
        <v>2609</v>
      </c>
      <c r="D1087" s="14" t="s">
        <v>422</v>
      </c>
    </row>
    <row r="1088" spans="1:4" ht="19.5" customHeight="1">
      <c r="A1088" s="9"/>
      <c r="B1088" s="38" t="s">
        <v>420</v>
      </c>
      <c r="C1088" s="30" t="s">
        <v>2609</v>
      </c>
      <c r="D1088" s="14" t="s">
        <v>422</v>
      </c>
    </row>
    <row r="1089" spans="1:4" ht="19.5" customHeight="1">
      <c r="A1089" s="9"/>
      <c r="B1089" s="38" t="s">
        <v>2672</v>
      </c>
      <c r="C1089" s="34" t="s">
        <v>2608</v>
      </c>
      <c r="D1089" s="14" t="s">
        <v>2673</v>
      </c>
    </row>
    <row r="1090" spans="1:4" ht="19.5" customHeight="1">
      <c r="A1090" s="9"/>
      <c r="B1090" s="38" t="s">
        <v>2674</v>
      </c>
      <c r="C1090" s="36">
        <v>2</v>
      </c>
      <c r="D1090" s="14" t="s">
        <v>2377</v>
      </c>
    </row>
    <row r="1091" spans="1:4" ht="15.75" customHeight="1">
      <c r="A1091" s="9"/>
      <c r="B1091" s="38" t="s">
        <v>2617</v>
      </c>
      <c r="C1091" s="36">
        <v>1</v>
      </c>
      <c r="D1091" s="14" t="s">
        <v>2293</v>
      </c>
    </row>
    <row r="1092" spans="1:4" ht="15.75" customHeight="1">
      <c r="A1092" s="9"/>
      <c r="B1092" s="38" t="s">
        <v>2675</v>
      </c>
      <c r="C1092" s="36">
        <v>2</v>
      </c>
      <c r="D1092" s="14" t="s">
        <v>1105</v>
      </c>
    </row>
    <row r="1093" spans="1:4" ht="15.75" customHeight="1">
      <c r="A1093" s="9"/>
      <c r="B1093" s="39" t="s">
        <v>2676</v>
      </c>
      <c r="C1093" s="32">
        <v>1</v>
      </c>
      <c r="D1093" s="14" t="s">
        <v>530</v>
      </c>
    </row>
    <row r="1094" spans="1:4" ht="15" customHeight="1">
      <c r="A1094" s="9" t="s">
        <v>1358</v>
      </c>
      <c r="B1094" s="37" t="s">
        <v>2680</v>
      </c>
      <c r="C1094" s="34" t="s">
        <v>2608</v>
      </c>
      <c r="D1094" s="14" t="s">
        <v>2232</v>
      </c>
    </row>
    <row r="1095" spans="1:4" ht="15" customHeight="1">
      <c r="A1095" s="9"/>
      <c r="B1095" s="38" t="s">
        <v>420</v>
      </c>
      <c r="C1095" s="30" t="s">
        <v>2670</v>
      </c>
      <c r="D1095" s="14" t="s">
        <v>422</v>
      </c>
    </row>
    <row r="1096" spans="1:4" ht="15" customHeight="1">
      <c r="A1096" s="9"/>
      <c r="B1096" s="38" t="s">
        <v>420</v>
      </c>
      <c r="C1096" s="30" t="s">
        <v>2609</v>
      </c>
      <c r="D1096" s="14" t="s">
        <v>422</v>
      </c>
    </row>
    <row r="1097" spans="1:4" ht="15" customHeight="1">
      <c r="A1097" s="9"/>
      <c r="B1097" s="38" t="s">
        <v>420</v>
      </c>
      <c r="C1097" s="30" t="s">
        <v>2609</v>
      </c>
      <c r="D1097" s="14" t="s">
        <v>422</v>
      </c>
    </row>
    <row r="1098" spans="1:4" ht="15" customHeight="1">
      <c r="A1098" s="9"/>
      <c r="B1098" s="38" t="s">
        <v>2683</v>
      </c>
      <c r="C1098" s="34" t="s">
        <v>2608</v>
      </c>
      <c r="D1098" s="14" t="s">
        <v>2109</v>
      </c>
    </row>
    <row r="1099" spans="1:4" ht="15" customHeight="1">
      <c r="A1099" s="9"/>
      <c r="B1099" s="38" t="s">
        <v>2679</v>
      </c>
      <c r="C1099" s="34" t="s">
        <v>2608</v>
      </c>
      <c r="D1099" s="14" t="s">
        <v>462</v>
      </c>
    </row>
    <row r="1100" spans="1:4" ht="15" customHeight="1">
      <c r="A1100" s="9"/>
      <c r="B1100" s="38" t="s">
        <v>2672</v>
      </c>
      <c r="C1100" s="34" t="s">
        <v>2608</v>
      </c>
      <c r="D1100" s="14" t="s">
        <v>2673</v>
      </c>
    </row>
    <row r="1101" spans="1:4" ht="15" customHeight="1">
      <c r="A1101" s="9"/>
      <c r="B1101" s="38" t="s">
        <v>2674</v>
      </c>
      <c r="C1101" s="36">
        <v>2</v>
      </c>
      <c r="D1101" s="14" t="s">
        <v>2377</v>
      </c>
    </row>
    <row r="1102" spans="1:4" ht="15" customHeight="1">
      <c r="A1102" s="9"/>
      <c r="B1102" s="38" t="s">
        <v>2617</v>
      </c>
      <c r="C1102" s="36">
        <v>1</v>
      </c>
      <c r="D1102" s="14" t="s">
        <v>2293</v>
      </c>
    </row>
    <row r="1103" spans="1:4" ht="15" customHeight="1">
      <c r="A1103" s="9"/>
      <c r="B1103" s="38" t="s">
        <v>2675</v>
      </c>
      <c r="C1103" s="36">
        <v>2</v>
      </c>
      <c r="D1103" s="14" t="s">
        <v>1105</v>
      </c>
    </row>
    <row r="1104" spans="1:4" ht="19.5" customHeight="1">
      <c r="A1104" s="9"/>
      <c r="B1104" s="39" t="s">
        <v>2676</v>
      </c>
      <c r="C1104" s="32">
        <v>1</v>
      </c>
      <c r="D1104" s="14" t="s">
        <v>530</v>
      </c>
    </row>
    <row r="1105" spans="1:4" ht="19.5" customHeight="1">
      <c r="A1105" s="9" t="s">
        <v>1360</v>
      </c>
      <c r="B1105" s="37" t="s">
        <v>2678</v>
      </c>
      <c r="C1105" s="34" t="s">
        <v>2608</v>
      </c>
      <c r="D1105" s="14" t="s">
        <v>2240</v>
      </c>
    </row>
    <row r="1106" spans="1:4" ht="19.5" customHeight="1">
      <c r="A1106" s="9"/>
      <c r="B1106" s="38" t="s">
        <v>420</v>
      </c>
      <c r="C1106" s="30" t="s">
        <v>2609</v>
      </c>
      <c r="D1106" s="14" t="s">
        <v>422</v>
      </c>
    </row>
    <row r="1107" spans="1:4" ht="19.5" customHeight="1">
      <c r="A1107" s="9"/>
      <c r="B1107" s="38" t="s">
        <v>420</v>
      </c>
      <c r="C1107" s="30" t="s">
        <v>2670</v>
      </c>
      <c r="D1107" s="14" t="s">
        <v>422</v>
      </c>
    </row>
    <row r="1108" spans="1:4" ht="19.5" customHeight="1">
      <c r="A1108" s="9"/>
      <c r="B1108" s="38" t="s">
        <v>420</v>
      </c>
      <c r="C1108" s="30" t="s">
        <v>2609</v>
      </c>
      <c r="D1108" s="14" t="s">
        <v>422</v>
      </c>
    </row>
    <row r="1109" spans="1:4" ht="19.5" customHeight="1">
      <c r="A1109" s="9"/>
      <c r="B1109" s="38" t="s">
        <v>2683</v>
      </c>
      <c r="C1109" s="34" t="s">
        <v>2608</v>
      </c>
      <c r="D1109" s="14" t="s">
        <v>2109</v>
      </c>
    </row>
    <row r="1110" spans="1:4" ht="19.5" customHeight="1">
      <c r="A1110" s="9"/>
      <c r="B1110" s="38" t="s">
        <v>2679</v>
      </c>
      <c r="C1110" s="34" t="s">
        <v>2608</v>
      </c>
      <c r="D1110" s="14" t="s">
        <v>462</v>
      </c>
    </row>
    <row r="1111" spans="1:4" ht="19.5" customHeight="1">
      <c r="A1111" s="9"/>
      <c r="B1111" s="38" t="s">
        <v>2672</v>
      </c>
      <c r="C1111" s="34" t="s">
        <v>2608</v>
      </c>
      <c r="D1111" s="14" t="s">
        <v>2673</v>
      </c>
    </row>
    <row r="1112" spans="1:4" ht="19.5" customHeight="1">
      <c r="A1112" s="9"/>
      <c r="B1112" s="38" t="s">
        <v>2674</v>
      </c>
      <c r="C1112" s="36">
        <v>2</v>
      </c>
      <c r="D1112" s="14" t="s">
        <v>2377</v>
      </c>
    </row>
    <row r="1113" spans="1:4" ht="19.5" customHeight="1">
      <c r="A1113" s="9"/>
      <c r="B1113" s="38" t="s">
        <v>2681</v>
      </c>
      <c r="C1113" s="36">
        <v>1</v>
      </c>
      <c r="D1113" s="14" t="s">
        <v>2682</v>
      </c>
    </row>
    <row r="1114" spans="1:4" ht="19.5" customHeight="1">
      <c r="A1114" s="9"/>
      <c r="B1114" s="38" t="s">
        <v>2675</v>
      </c>
      <c r="C1114" s="36">
        <v>2</v>
      </c>
      <c r="D1114" s="14" t="s">
        <v>1105</v>
      </c>
    </row>
    <row r="1115" spans="1:4" ht="19.5" customHeight="1">
      <c r="A1115" s="9"/>
      <c r="B1115" s="39" t="s">
        <v>2676</v>
      </c>
      <c r="C1115" s="32">
        <v>1</v>
      </c>
      <c r="D1115" s="14" t="s">
        <v>530</v>
      </c>
    </row>
    <row r="1116" spans="1:4" ht="19.5" customHeight="1">
      <c r="A1116" s="9" t="s">
        <v>1362</v>
      </c>
      <c r="B1116" s="37" t="s">
        <v>2669</v>
      </c>
      <c r="C1116" s="34" t="s">
        <v>2608</v>
      </c>
      <c r="D1116" s="14" t="s">
        <v>2096</v>
      </c>
    </row>
    <row r="1117" spans="1:4" ht="19.5" customHeight="1">
      <c r="A1117" s="9"/>
      <c r="B1117" s="38" t="s">
        <v>420</v>
      </c>
      <c r="C1117" s="30" t="s">
        <v>2609</v>
      </c>
      <c r="D1117" s="14" t="s">
        <v>422</v>
      </c>
    </row>
    <row r="1118" spans="1:4" ht="19.5" customHeight="1">
      <c r="A1118" s="9"/>
      <c r="B1118" s="38" t="s">
        <v>420</v>
      </c>
      <c r="C1118" s="30" t="s">
        <v>2670</v>
      </c>
      <c r="D1118" s="14" t="s">
        <v>422</v>
      </c>
    </row>
    <row r="1119" spans="1:4" ht="19.5" customHeight="1">
      <c r="A1119" s="9"/>
      <c r="B1119" s="38" t="s">
        <v>420</v>
      </c>
      <c r="C1119" s="30" t="s">
        <v>2609</v>
      </c>
      <c r="D1119" s="14" t="s">
        <v>422</v>
      </c>
    </row>
    <row r="1120" spans="1:4" ht="19.5" customHeight="1">
      <c r="A1120" s="9"/>
      <c r="B1120" s="38" t="s">
        <v>2683</v>
      </c>
      <c r="C1120" s="34" t="s">
        <v>2608</v>
      </c>
      <c r="D1120" s="14" t="s">
        <v>2109</v>
      </c>
    </row>
    <row r="1121" spans="1:4" ht="19.5" customHeight="1">
      <c r="A1121" s="9"/>
      <c r="B1121" s="38" t="s">
        <v>2672</v>
      </c>
      <c r="C1121" s="34" t="s">
        <v>2608</v>
      </c>
      <c r="D1121" s="14" t="s">
        <v>2673</v>
      </c>
    </row>
    <row r="1122" spans="1:4" ht="19.5" customHeight="1">
      <c r="A1122" s="9"/>
      <c r="B1122" s="38" t="s">
        <v>2674</v>
      </c>
      <c r="C1122" s="36">
        <v>4</v>
      </c>
      <c r="D1122" s="14" t="s">
        <v>2377</v>
      </c>
    </row>
    <row r="1123" spans="1:4" ht="19.5" customHeight="1">
      <c r="A1123" s="9"/>
      <c r="B1123" s="38" t="s">
        <v>2681</v>
      </c>
      <c r="C1123" s="36">
        <v>2</v>
      </c>
      <c r="D1123" s="14" t="s">
        <v>2682</v>
      </c>
    </row>
    <row r="1124" spans="1:4" ht="19.5" customHeight="1">
      <c r="A1124" s="9"/>
      <c r="B1124" s="38" t="s">
        <v>2675</v>
      </c>
      <c r="C1124" s="36">
        <v>4</v>
      </c>
      <c r="D1124" s="14" t="s">
        <v>1105</v>
      </c>
    </row>
    <row r="1125" spans="1:4" ht="19.5" customHeight="1">
      <c r="A1125" s="9"/>
      <c r="B1125" s="39" t="s">
        <v>2676</v>
      </c>
      <c r="C1125" s="32">
        <v>2</v>
      </c>
      <c r="D1125" s="14" t="s">
        <v>530</v>
      </c>
    </row>
    <row r="1126" spans="1:4" ht="19.5" customHeight="1">
      <c r="A1126" s="9" t="s">
        <v>1364</v>
      </c>
      <c r="B1126" s="37" t="s">
        <v>2680</v>
      </c>
      <c r="C1126" s="34" t="s">
        <v>2608</v>
      </c>
      <c r="D1126" s="14" t="s">
        <v>2232</v>
      </c>
    </row>
    <row r="1127" spans="1:4" ht="19.5" customHeight="1">
      <c r="A1127" s="9"/>
      <c r="B1127" s="38" t="s">
        <v>420</v>
      </c>
      <c r="C1127" s="30" t="s">
        <v>2609</v>
      </c>
      <c r="D1127" s="14" t="s">
        <v>422</v>
      </c>
    </row>
    <row r="1128" spans="1:4" ht="19.5" customHeight="1">
      <c r="A1128" s="9"/>
      <c r="B1128" s="38" t="s">
        <v>420</v>
      </c>
      <c r="C1128" s="30" t="s">
        <v>2609</v>
      </c>
      <c r="D1128" s="14" t="s">
        <v>422</v>
      </c>
    </row>
    <row r="1129" spans="1:4" ht="19.5" customHeight="1">
      <c r="A1129" s="9"/>
      <c r="B1129" s="38" t="s">
        <v>420</v>
      </c>
      <c r="C1129" s="30" t="s">
        <v>2670</v>
      </c>
      <c r="D1129" s="14" t="s">
        <v>422</v>
      </c>
    </row>
    <row r="1130" spans="1:4" ht="19.5" customHeight="1">
      <c r="A1130" s="9"/>
      <c r="B1130" s="38" t="s">
        <v>2683</v>
      </c>
      <c r="C1130" s="34" t="s">
        <v>2608</v>
      </c>
      <c r="D1130" s="14" t="s">
        <v>2109</v>
      </c>
    </row>
    <row r="1131" spans="1:4" ht="19.5" customHeight="1">
      <c r="A1131" s="9"/>
      <c r="B1131" s="38" t="s">
        <v>2672</v>
      </c>
      <c r="C1131" s="34" t="s">
        <v>2608</v>
      </c>
      <c r="D1131" s="14" t="s">
        <v>2673</v>
      </c>
    </row>
    <row r="1132" spans="1:4" ht="19.5" customHeight="1">
      <c r="A1132" s="9"/>
      <c r="B1132" s="38" t="s">
        <v>2674</v>
      </c>
      <c r="C1132" s="36">
        <v>4</v>
      </c>
      <c r="D1132" s="14" t="s">
        <v>2377</v>
      </c>
    </row>
    <row r="1133" spans="1:4" ht="19.5" customHeight="1">
      <c r="A1133" s="9"/>
      <c r="B1133" s="38" t="s">
        <v>2681</v>
      </c>
      <c r="C1133" s="36">
        <v>2</v>
      </c>
      <c r="D1133" s="14" t="s">
        <v>2682</v>
      </c>
    </row>
    <row r="1134" spans="1:4" ht="19.5" customHeight="1">
      <c r="A1134" s="9"/>
      <c r="B1134" s="38" t="s">
        <v>2675</v>
      </c>
      <c r="C1134" s="36">
        <v>4</v>
      </c>
      <c r="D1134" s="14" t="s">
        <v>1105</v>
      </c>
    </row>
    <row r="1135" spans="1:4" ht="15" customHeight="1">
      <c r="A1135" s="9"/>
      <c r="B1135" s="39" t="s">
        <v>2676</v>
      </c>
      <c r="C1135" s="32">
        <v>2</v>
      </c>
      <c r="D1135" s="14" t="s">
        <v>530</v>
      </c>
    </row>
    <row r="1136" spans="1:4" ht="15" customHeight="1">
      <c r="A1136" s="9" t="s">
        <v>1366</v>
      </c>
      <c r="B1136" s="37" t="s">
        <v>2678</v>
      </c>
      <c r="C1136" s="34" t="s">
        <v>2608</v>
      </c>
      <c r="D1136" s="14" t="s">
        <v>2240</v>
      </c>
    </row>
    <row r="1137" spans="1:4" ht="15" customHeight="1">
      <c r="A1137" s="9"/>
      <c r="B1137" s="38" t="s">
        <v>420</v>
      </c>
      <c r="C1137" s="30" t="s">
        <v>2609</v>
      </c>
      <c r="D1137" s="14" t="s">
        <v>422</v>
      </c>
    </row>
    <row r="1138" spans="1:4" ht="15" customHeight="1">
      <c r="A1138" s="9"/>
      <c r="B1138" s="38" t="s">
        <v>420</v>
      </c>
      <c r="C1138" s="30" t="s">
        <v>2670</v>
      </c>
      <c r="D1138" s="14" t="s">
        <v>422</v>
      </c>
    </row>
    <row r="1139" spans="1:4" ht="15" customHeight="1">
      <c r="A1139" s="9"/>
      <c r="B1139" s="38" t="s">
        <v>420</v>
      </c>
      <c r="C1139" s="30" t="s">
        <v>2609</v>
      </c>
      <c r="D1139" s="14" t="s">
        <v>422</v>
      </c>
    </row>
    <row r="1140" spans="1:4" ht="15" customHeight="1">
      <c r="A1140" s="9"/>
      <c r="B1140" s="38" t="s">
        <v>2683</v>
      </c>
      <c r="C1140" s="34" t="s">
        <v>2608</v>
      </c>
      <c r="D1140" s="14" t="s">
        <v>2109</v>
      </c>
    </row>
    <row r="1141" spans="1:4" ht="15" customHeight="1">
      <c r="A1141" s="9"/>
      <c r="B1141" s="38" t="s">
        <v>2672</v>
      </c>
      <c r="C1141" s="34" t="s">
        <v>2608</v>
      </c>
      <c r="D1141" s="14" t="s">
        <v>2673</v>
      </c>
    </row>
    <row r="1142" spans="1:4" ht="15" customHeight="1">
      <c r="A1142" s="9"/>
      <c r="B1142" s="38" t="s">
        <v>2674</v>
      </c>
      <c r="C1142" s="36">
        <v>4</v>
      </c>
      <c r="D1142" s="14" t="s">
        <v>2377</v>
      </c>
    </row>
    <row r="1143" spans="1:4" ht="15" customHeight="1">
      <c r="A1143" s="9"/>
      <c r="B1143" s="38" t="s">
        <v>2681</v>
      </c>
      <c r="C1143" s="36">
        <v>2</v>
      </c>
      <c r="D1143" s="14" t="s">
        <v>2682</v>
      </c>
    </row>
    <row r="1144" spans="1:4" ht="19.5" customHeight="1">
      <c r="A1144" s="9"/>
      <c r="B1144" s="38" t="s">
        <v>2675</v>
      </c>
      <c r="C1144" s="36">
        <v>4</v>
      </c>
      <c r="D1144" s="14" t="s">
        <v>1105</v>
      </c>
    </row>
    <row r="1145" spans="1:4" ht="19.5" customHeight="1">
      <c r="A1145" s="9"/>
      <c r="B1145" s="39" t="s">
        <v>2676</v>
      </c>
      <c r="C1145" s="32">
        <v>2</v>
      </c>
      <c r="D1145" s="14" t="s">
        <v>530</v>
      </c>
    </row>
    <row r="1146" spans="1:4" ht="19.5" customHeight="1">
      <c r="A1146" s="9" t="s">
        <v>1368</v>
      </c>
      <c r="B1146" s="37" t="s">
        <v>2669</v>
      </c>
      <c r="C1146" s="34" t="s">
        <v>2608</v>
      </c>
      <c r="D1146" s="14" t="s">
        <v>2096</v>
      </c>
    </row>
    <row r="1147" spans="1:4" ht="19.5" customHeight="1">
      <c r="A1147" s="9"/>
      <c r="B1147" s="38" t="s">
        <v>420</v>
      </c>
      <c r="C1147" s="30" t="s">
        <v>2609</v>
      </c>
      <c r="D1147" s="14" t="s">
        <v>422</v>
      </c>
    </row>
    <row r="1148" spans="1:4" ht="19.5" customHeight="1">
      <c r="A1148" s="9"/>
      <c r="B1148" s="38" t="s">
        <v>420</v>
      </c>
      <c r="C1148" s="30" t="s">
        <v>2670</v>
      </c>
      <c r="D1148" s="14" t="s">
        <v>422</v>
      </c>
    </row>
    <row r="1149" spans="1:4" ht="19.5" customHeight="1">
      <c r="A1149" s="9"/>
      <c r="B1149" s="38" t="s">
        <v>420</v>
      </c>
      <c r="C1149" s="30" t="s">
        <v>2609</v>
      </c>
      <c r="D1149" s="14" t="s">
        <v>422</v>
      </c>
    </row>
    <row r="1150" spans="1:4" ht="15" customHeight="1">
      <c r="A1150" s="9"/>
      <c r="B1150" s="38" t="s">
        <v>420</v>
      </c>
      <c r="C1150" s="30" t="s">
        <v>2609</v>
      </c>
      <c r="D1150" s="14" t="s">
        <v>422</v>
      </c>
    </row>
    <row r="1151" spans="1:4" ht="19.5" customHeight="1">
      <c r="A1151" s="9"/>
      <c r="B1151" s="38" t="s">
        <v>2671</v>
      </c>
      <c r="C1151" s="34" t="s">
        <v>2608</v>
      </c>
      <c r="D1151" s="14" t="s">
        <v>2107</v>
      </c>
    </row>
    <row r="1152" spans="1:4" ht="19.5" customHeight="1">
      <c r="A1152" s="9"/>
      <c r="B1152" s="38" t="s">
        <v>2685</v>
      </c>
      <c r="C1152" s="34" t="s">
        <v>2608</v>
      </c>
      <c r="D1152" s="14" t="s">
        <v>438</v>
      </c>
    </row>
    <row r="1153" spans="1:4" ht="19.5" customHeight="1">
      <c r="A1153" s="9"/>
      <c r="B1153" s="38" t="s">
        <v>2672</v>
      </c>
      <c r="C1153" s="34" t="s">
        <v>2608</v>
      </c>
      <c r="D1153" s="14" t="s">
        <v>2673</v>
      </c>
    </row>
    <row r="1154" spans="1:4" ht="19.5" customHeight="1">
      <c r="A1154" s="9"/>
      <c r="B1154" s="38" t="s">
        <v>2674</v>
      </c>
      <c r="C1154" s="36">
        <v>4</v>
      </c>
      <c r="D1154" s="14" t="s">
        <v>2377</v>
      </c>
    </row>
    <row r="1155" spans="1:4" ht="19.5" customHeight="1">
      <c r="A1155" s="9"/>
      <c r="B1155" s="38" t="s">
        <v>2617</v>
      </c>
      <c r="C1155" s="36">
        <v>1</v>
      </c>
      <c r="D1155" s="14" t="s">
        <v>2293</v>
      </c>
    </row>
    <row r="1156" spans="1:4" ht="19.5" customHeight="1">
      <c r="A1156" s="9"/>
      <c r="B1156" s="38" t="s">
        <v>2686</v>
      </c>
      <c r="C1156" s="36">
        <v>1</v>
      </c>
      <c r="D1156" s="14" t="s">
        <v>2587</v>
      </c>
    </row>
    <row r="1157" spans="1:4" ht="19.5" customHeight="1">
      <c r="A1157" s="9"/>
      <c r="B1157" s="38" t="s">
        <v>2687</v>
      </c>
      <c r="C1157" s="36">
        <v>2</v>
      </c>
      <c r="D1157" s="14" t="s">
        <v>1103</v>
      </c>
    </row>
    <row r="1158" spans="1:4" ht="19.5" customHeight="1">
      <c r="A1158" s="9"/>
      <c r="B1158" s="38" t="s">
        <v>2688</v>
      </c>
      <c r="C1158" s="36">
        <v>2</v>
      </c>
      <c r="D1158" s="14" t="s">
        <v>1119</v>
      </c>
    </row>
    <row r="1159" spans="1:4" ht="19.5" customHeight="1">
      <c r="A1159" s="9"/>
      <c r="B1159" s="38" t="s">
        <v>2689</v>
      </c>
      <c r="C1159" s="36">
        <v>2</v>
      </c>
      <c r="D1159" s="14" t="s">
        <v>1117</v>
      </c>
    </row>
    <row r="1160" spans="1:4" ht="19.5" customHeight="1">
      <c r="A1160" s="9"/>
      <c r="B1160" s="39" t="s">
        <v>2676</v>
      </c>
      <c r="C1160" s="32">
        <v>1</v>
      </c>
      <c r="D1160" s="14" t="s">
        <v>530</v>
      </c>
    </row>
    <row r="1161" spans="1:4" ht="19.5" customHeight="1">
      <c r="A1161" s="9" t="s">
        <v>1370</v>
      </c>
      <c r="B1161" s="37" t="s">
        <v>2680</v>
      </c>
      <c r="C1161" s="34" t="s">
        <v>2608</v>
      </c>
      <c r="D1161" s="14" t="s">
        <v>2232</v>
      </c>
    </row>
    <row r="1162" spans="1:4" ht="19.5" customHeight="1">
      <c r="A1162" s="9"/>
      <c r="B1162" s="38" t="s">
        <v>420</v>
      </c>
      <c r="C1162" s="30" t="s">
        <v>2609</v>
      </c>
      <c r="D1162" s="14" t="s">
        <v>422</v>
      </c>
    </row>
    <row r="1163" spans="1:4" ht="19.5" customHeight="1">
      <c r="A1163" s="9"/>
      <c r="B1163" s="38" t="s">
        <v>420</v>
      </c>
      <c r="C1163" s="30" t="s">
        <v>2670</v>
      </c>
      <c r="D1163" s="14" t="s">
        <v>422</v>
      </c>
    </row>
    <row r="1164" spans="1:4" ht="19.5" customHeight="1">
      <c r="A1164" s="9"/>
      <c r="B1164" s="38" t="s">
        <v>420</v>
      </c>
      <c r="C1164" s="30" t="s">
        <v>2609</v>
      </c>
      <c r="D1164" s="14" t="s">
        <v>422</v>
      </c>
    </row>
    <row r="1165" spans="1:4" ht="15" customHeight="1">
      <c r="A1165" s="9"/>
      <c r="B1165" s="38" t="s">
        <v>420</v>
      </c>
      <c r="C1165" s="30" t="s">
        <v>2609</v>
      </c>
      <c r="D1165" s="14" t="s">
        <v>422</v>
      </c>
    </row>
    <row r="1166" spans="1:4" ht="16.5" customHeight="1">
      <c r="A1166" s="9"/>
      <c r="B1166" s="38" t="s">
        <v>2671</v>
      </c>
      <c r="C1166" s="34" t="s">
        <v>2608</v>
      </c>
      <c r="D1166" s="14" t="s">
        <v>2107</v>
      </c>
    </row>
    <row r="1167" spans="1:4" ht="15.75" customHeight="1">
      <c r="A1167" s="9"/>
      <c r="B1167" s="38" t="s">
        <v>2685</v>
      </c>
      <c r="C1167" s="34" t="s">
        <v>2608</v>
      </c>
      <c r="D1167" s="14" t="s">
        <v>438</v>
      </c>
    </row>
    <row r="1168" spans="1:4" ht="16.5" customHeight="1">
      <c r="A1168" s="9"/>
      <c r="B1168" s="38" t="s">
        <v>2672</v>
      </c>
      <c r="C1168" s="34" t="s">
        <v>2608</v>
      </c>
      <c r="D1168" s="14" t="s">
        <v>2673</v>
      </c>
    </row>
    <row r="1169" spans="1:4" ht="16.5" customHeight="1">
      <c r="A1169" s="9"/>
      <c r="B1169" s="38" t="s">
        <v>2674</v>
      </c>
      <c r="C1169" s="36">
        <v>4</v>
      </c>
      <c r="D1169" s="14" t="s">
        <v>2377</v>
      </c>
    </row>
    <row r="1170" spans="1:4" ht="16.5" customHeight="1">
      <c r="A1170" s="9"/>
      <c r="B1170" s="38" t="s">
        <v>2617</v>
      </c>
      <c r="C1170" s="36">
        <v>1</v>
      </c>
      <c r="D1170" s="14" t="s">
        <v>2293</v>
      </c>
    </row>
    <row r="1171" spans="1:4" ht="16.5" customHeight="1">
      <c r="A1171" s="9"/>
      <c r="B1171" s="38" t="s">
        <v>2686</v>
      </c>
      <c r="C1171" s="36">
        <v>1</v>
      </c>
      <c r="D1171" s="14" t="s">
        <v>2587</v>
      </c>
    </row>
    <row r="1172" spans="1:4" ht="14.25" customHeight="1">
      <c r="A1172" s="9"/>
      <c r="B1172" s="38" t="s">
        <v>2687</v>
      </c>
      <c r="C1172" s="36">
        <v>2</v>
      </c>
      <c r="D1172" s="14" t="s">
        <v>1103</v>
      </c>
    </row>
    <row r="1173" spans="1:4" ht="18" customHeight="1">
      <c r="A1173" s="9"/>
      <c r="B1173" s="38" t="s">
        <v>2688</v>
      </c>
      <c r="C1173" s="36">
        <v>2</v>
      </c>
      <c r="D1173" s="14" t="s">
        <v>1119</v>
      </c>
    </row>
    <row r="1174" spans="1:4" ht="15" customHeight="1">
      <c r="A1174" s="9"/>
      <c r="B1174" s="38" t="s">
        <v>2689</v>
      </c>
      <c r="C1174" s="36">
        <v>2</v>
      </c>
      <c r="D1174" s="14" t="s">
        <v>1117</v>
      </c>
    </row>
    <row r="1175" spans="1:4" ht="15" customHeight="1">
      <c r="A1175" s="9"/>
      <c r="B1175" s="39" t="s">
        <v>2676</v>
      </c>
      <c r="C1175" s="32">
        <v>1</v>
      </c>
      <c r="D1175" s="14" t="s">
        <v>530</v>
      </c>
    </row>
    <row r="1176" spans="1:4" ht="15" customHeight="1">
      <c r="A1176" s="9" t="s">
        <v>1372</v>
      </c>
      <c r="B1176" s="37" t="s">
        <v>2678</v>
      </c>
      <c r="C1176" s="34" t="s">
        <v>2608</v>
      </c>
      <c r="D1176" s="14" t="s">
        <v>2240</v>
      </c>
    </row>
    <row r="1177" spans="1:4" ht="15" customHeight="1">
      <c r="A1177" s="9"/>
      <c r="B1177" s="38" t="s">
        <v>420</v>
      </c>
      <c r="C1177" s="30" t="s">
        <v>2609</v>
      </c>
      <c r="D1177" s="14" t="s">
        <v>422</v>
      </c>
    </row>
    <row r="1178" spans="1:4" ht="15" customHeight="1">
      <c r="A1178" s="9"/>
      <c r="B1178" s="38" t="s">
        <v>420</v>
      </c>
      <c r="C1178" s="30" t="s">
        <v>2670</v>
      </c>
      <c r="D1178" s="14" t="s">
        <v>422</v>
      </c>
    </row>
    <row r="1179" spans="1:4" ht="15" customHeight="1">
      <c r="A1179" s="9"/>
      <c r="B1179" s="38" t="s">
        <v>420</v>
      </c>
      <c r="C1179" s="30" t="s">
        <v>2609</v>
      </c>
      <c r="D1179" s="14" t="s">
        <v>422</v>
      </c>
    </row>
    <row r="1180" spans="1:4" ht="15" customHeight="1">
      <c r="A1180" s="9"/>
      <c r="B1180" s="38" t="s">
        <v>420</v>
      </c>
      <c r="C1180" s="30" t="s">
        <v>2609</v>
      </c>
      <c r="D1180" s="14" t="s">
        <v>422</v>
      </c>
    </row>
    <row r="1181" spans="1:4" ht="15" customHeight="1">
      <c r="A1181" s="9"/>
      <c r="B1181" s="38" t="s">
        <v>2671</v>
      </c>
      <c r="C1181" s="34" t="s">
        <v>2608</v>
      </c>
      <c r="D1181" s="14" t="s">
        <v>2107</v>
      </c>
    </row>
    <row r="1182" spans="1:4" ht="15" customHeight="1">
      <c r="A1182" s="9"/>
      <c r="B1182" s="38" t="s">
        <v>2685</v>
      </c>
      <c r="C1182" s="34" t="s">
        <v>2608</v>
      </c>
      <c r="D1182" s="14" t="s">
        <v>438</v>
      </c>
    </row>
    <row r="1183" spans="1:4" ht="15" customHeight="1">
      <c r="A1183" s="9"/>
      <c r="B1183" s="38" t="s">
        <v>2672</v>
      </c>
      <c r="C1183" s="34" t="s">
        <v>2608</v>
      </c>
      <c r="D1183" s="14" t="s">
        <v>2673</v>
      </c>
    </row>
    <row r="1184" spans="1:4" ht="15" customHeight="1">
      <c r="A1184" s="9"/>
      <c r="B1184" s="38" t="s">
        <v>2674</v>
      </c>
      <c r="C1184" s="36">
        <v>4</v>
      </c>
      <c r="D1184" s="14" t="s">
        <v>2377</v>
      </c>
    </row>
    <row r="1185" spans="1:4" ht="15" customHeight="1">
      <c r="A1185" s="9"/>
      <c r="B1185" s="38" t="s">
        <v>2617</v>
      </c>
      <c r="C1185" s="36">
        <v>1</v>
      </c>
      <c r="D1185" s="14" t="s">
        <v>2293</v>
      </c>
    </row>
    <row r="1186" spans="1:4" ht="15" customHeight="1">
      <c r="A1186" s="9"/>
      <c r="B1186" s="38" t="s">
        <v>2686</v>
      </c>
      <c r="C1186" s="36">
        <v>1</v>
      </c>
      <c r="D1186" s="14" t="s">
        <v>2587</v>
      </c>
    </row>
    <row r="1187" spans="1:4" ht="15" customHeight="1">
      <c r="A1187" s="9"/>
      <c r="B1187" s="38" t="s">
        <v>2687</v>
      </c>
      <c r="C1187" s="36">
        <v>2</v>
      </c>
      <c r="D1187" s="14" t="s">
        <v>1103</v>
      </c>
    </row>
    <row r="1188" spans="1:4" ht="15" customHeight="1">
      <c r="A1188" s="9"/>
      <c r="B1188" s="38" t="s">
        <v>2688</v>
      </c>
      <c r="C1188" s="36">
        <v>2</v>
      </c>
      <c r="D1188" s="14" t="s">
        <v>1119</v>
      </c>
    </row>
    <row r="1189" spans="1:4" ht="15" customHeight="1">
      <c r="A1189" s="9"/>
      <c r="B1189" s="38" t="s">
        <v>2689</v>
      </c>
      <c r="C1189" s="36">
        <v>2</v>
      </c>
      <c r="D1189" s="14" t="s">
        <v>1117</v>
      </c>
    </row>
    <row r="1190" spans="1:4" ht="19.5" customHeight="1">
      <c r="A1190" s="9"/>
      <c r="B1190" s="39" t="s">
        <v>2676</v>
      </c>
      <c r="C1190" s="32">
        <v>1</v>
      </c>
      <c r="D1190" s="14" t="s">
        <v>530</v>
      </c>
    </row>
    <row r="1191" spans="1:4" ht="19.5" customHeight="1">
      <c r="A1191" s="9" t="s">
        <v>1374</v>
      </c>
      <c r="B1191" s="37" t="s">
        <v>2669</v>
      </c>
      <c r="C1191" s="34" t="s">
        <v>2608</v>
      </c>
      <c r="D1191" s="14" t="s">
        <v>2096</v>
      </c>
    </row>
    <row r="1192" spans="1:4" ht="19.5" customHeight="1">
      <c r="A1192" s="9"/>
      <c r="B1192" s="38" t="s">
        <v>2690</v>
      </c>
      <c r="C1192" s="30" t="s">
        <v>2609</v>
      </c>
      <c r="D1192" s="14" t="s">
        <v>426</v>
      </c>
    </row>
    <row r="1193" spans="1:4" ht="19.5" customHeight="1">
      <c r="A1193" s="9"/>
      <c r="B1193" s="38" t="s">
        <v>420</v>
      </c>
      <c r="C1193" s="30" t="s">
        <v>2670</v>
      </c>
      <c r="D1193" s="14" t="s">
        <v>422</v>
      </c>
    </row>
    <row r="1194" spans="1:4" ht="19.5" customHeight="1">
      <c r="A1194" s="9"/>
      <c r="B1194" s="38" t="s">
        <v>420</v>
      </c>
      <c r="C1194" s="30" t="s">
        <v>2609</v>
      </c>
      <c r="D1194" s="14" t="s">
        <v>422</v>
      </c>
    </row>
    <row r="1195" spans="1:4" ht="15" customHeight="1">
      <c r="A1195" s="9"/>
      <c r="B1195" s="38" t="s">
        <v>420</v>
      </c>
      <c r="C1195" s="30" t="s">
        <v>2609</v>
      </c>
      <c r="D1195" s="14" t="s">
        <v>422</v>
      </c>
    </row>
    <row r="1196" spans="1:4" ht="19.5" customHeight="1">
      <c r="A1196" s="9"/>
      <c r="B1196" s="38" t="s">
        <v>2671</v>
      </c>
      <c r="C1196" s="34" t="s">
        <v>2608</v>
      </c>
      <c r="D1196" s="14" t="s">
        <v>2107</v>
      </c>
    </row>
    <row r="1197" spans="1:4" ht="19.5" customHeight="1">
      <c r="A1197" s="9"/>
      <c r="B1197" s="38" t="s">
        <v>2679</v>
      </c>
      <c r="C1197" s="34" t="s">
        <v>2608</v>
      </c>
      <c r="D1197" s="14" t="s">
        <v>462</v>
      </c>
    </row>
    <row r="1198" spans="1:4" ht="19.5" customHeight="1">
      <c r="A1198" s="9"/>
      <c r="B1198" s="38" t="s">
        <v>2685</v>
      </c>
      <c r="C1198" s="34" t="s">
        <v>2608</v>
      </c>
      <c r="D1198" s="14" t="s">
        <v>438</v>
      </c>
    </row>
    <row r="1199" spans="1:4" ht="19.5" customHeight="1">
      <c r="A1199" s="9"/>
      <c r="B1199" s="38" t="s">
        <v>2672</v>
      </c>
      <c r="C1199" s="34" t="s">
        <v>2608</v>
      </c>
      <c r="D1199" s="14" t="s">
        <v>2673</v>
      </c>
    </row>
    <row r="1200" spans="1:4" ht="19.5" customHeight="1">
      <c r="A1200" s="9"/>
      <c r="B1200" s="38" t="s">
        <v>2674</v>
      </c>
      <c r="C1200" s="36">
        <v>4</v>
      </c>
      <c r="D1200" s="14" t="s">
        <v>2377</v>
      </c>
    </row>
    <row r="1201" spans="1:4" ht="19.5" customHeight="1">
      <c r="A1201" s="9"/>
      <c r="B1201" s="38" t="s">
        <v>2617</v>
      </c>
      <c r="C1201" s="36">
        <v>1</v>
      </c>
      <c r="D1201" s="14" t="s">
        <v>2293</v>
      </c>
    </row>
    <row r="1202" spans="1:4" ht="15" customHeight="1">
      <c r="A1202" s="9"/>
      <c r="B1202" s="38" t="s">
        <v>2686</v>
      </c>
      <c r="C1202" s="36">
        <v>1</v>
      </c>
      <c r="D1202" s="14" t="s">
        <v>2587</v>
      </c>
    </row>
    <row r="1203" spans="1:4" ht="16.5" customHeight="1">
      <c r="A1203" s="9"/>
      <c r="B1203" s="38" t="s">
        <v>2687</v>
      </c>
      <c r="C1203" s="36">
        <v>2</v>
      </c>
      <c r="D1203" s="14" t="s">
        <v>1103</v>
      </c>
    </row>
    <row r="1204" spans="1:4" ht="16.5" customHeight="1">
      <c r="A1204" s="9"/>
      <c r="B1204" s="38" t="s">
        <v>2688</v>
      </c>
      <c r="C1204" s="36">
        <v>2</v>
      </c>
      <c r="D1204" s="14" t="s">
        <v>1119</v>
      </c>
    </row>
    <row r="1205" spans="1:4" ht="15" customHeight="1">
      <c r="A1205" s="9"/>
      <c r="B1205" s="38" t="s">
        <v>2689</v>
      </c>
      <c r="C1205" s="36">
        <v>2</v>
      </c>
      <c r="D1205" s="14" t="s">
        <v>1117</v>
      </c>
    </row>
    <row r="1206" spans="1:4" ht="15" customHeight="1">
      <c r="A1206" s="9"/>
      <c r="B1206" s="39" t="s">
        <v>2676</v>
      </c>
      <c r="C1206" s="32">
        <v>1</v>
      </c>
      <c r="D1206" s="14" t="s">
        <v>530</v>
      </c>
    </row>
    <row r="1207" spans="1:4" ht="15" customHeight="1">
      <c r="A1207" s="9" t="s">
        <v>1376</v>
      </c>
      <c r="B1207" s="37" t="s">
        <v>2680</v>
      </c>
      <c r="C1207" s="34" t="s">
        <v>2608</v>
      </c>
      <c r="D1207" s="14" t="s">
        <v>2232</v>
      </c>
    </row>
    <row r="1208" spans="1:4" ht="15" customHeight="1">
      <c r="A1208" s="9"/>
      <c r="B1208" s="38" t="s">
        <v>420</v>
      </c>
      <c r="C1208" s="30" t="s">
        <v>2670</v>
      </c>
      <c r="D1208" s="14" t="s">
        <v>422</v>
      </c>
    </row>
    <row r="1209" spans="1:4" ht="15" customHeight="1">
      <c r="A1209" s="9"/>
      <c r="B1209" s="38" t="s">
        <v>420</v>
      </c>
      <c r="C1209" s="30" t="s">
        <v>2609</v>
      </c>
      <c r="D1209" s="14" t="s">
        <v>422</v>
      </c>
    </row>
    <row r="1210" spans="1:4" ht="15" customHeight="1">
      <c r="A1210" s="9"/>
      <c r="B1210" s="38" t="s">
        <v>420</v>
      </c>
      <c r="C1210" s="30" t="s">
        <v>2609</v>
      </c>
      <c r="D1210" s="14" t="s">
        <v>422</v>
      </c>
    </row>
    <row r="1211" spans="1:4" ht="15" customHeight="1">
      <c r="A1211" s="9"/>
      <c r="B1211" s="38" t="s">
        <v>420</v>
      </c>
      <c r="C1211" s="30" t="s">
        <v>2609</v>
      </c>
      <c r="D1211" s="14" t="s">
        <v>422</v>
      </c>
    </row>
    <row r="1212" spans="1:4" ht="15" customHeight="1">
      <c r="A1212" s="9"/>
      <c r="B1212" s="38" t="s">
        <v>2671</v>
      </c>
      <c r="C1212" s="34" t="s">
        <v>2608</v>
      </c>
      <c r="D1212" s="14" t="s">
        <v>2107</v>
      </c>
    </row>
    <row r="1213" spans="1:4" ht="15" customHeight="1">
      <c r="A1213" s="9"/>
      <c r="B1213" s="38" t="s">
        <v>2679</v>
      </c>
      <c r="C1213" s="34" t="s">
        <v>2608</v>
      </c>
      <c r="D1213" s="14" t="s">
        <v>462</v>
      </c>
    </row>
    <row r="1214" spans="1:4" ht="15" customHeight="1">
      <c r="A1214" s="9"/>
      <c r="B1214" s="38" t="s">
        <v>2685</v>
      </c>
      <c r="C1214" s="34" t="s">
        <v>2608</v>
      </c>
      <c r="D1214" s="14" t="s">
        <v>438</v>
      </c>
    </row>
    <row r="1215" spans="1:4" ht="15" customHeight="1">
      <c r="A1215" s="9"/>
      <c r="B1215" s="38" t="s">
        <v>2672</v>
      </c>
      <c r="C1215" s="34" t="s">
        <v>2608</v>
      </c>
      <c r="D1215" s="14" t="s">
        <v>2673</v>
      </c>
    </row>
    <row r="1216" spans="1:4" ht="15" customHeight="1">
      <c r="A1216" s="9"/>
      <c r="B1216" s="38" t="s">
        <v>2674</v>
      </c>
      <c r="C1216" s="36">
        <v>4</v>
      </c>
      <c r="D1216" s="14" t="s">
        <v>2377</v>
      </c>
    </row>
    <row r="1217" spans="1:4" ht="15" customHeight="1">
      <c r="A1217" s="9"/>
      <c r="B1217" s="38" t="s">
        <v>2617</v>
      </c>
      <c r="C1217" s="36">
        <v>1</v>
      </c>
      <c r="D1217" s="14" t="s">
        <v>2293</v>
      </c>
    </row>
    <row r="1218" spans="1:4" ht="15" customHeight="1">
      <c r="A1218" s="9"/>
      <c r="B1218" s="38" t="s">
        <v>2686</v>
      </c>
      <c r="C1218" s="36">
        <v>1</v>
      </c>
      <c r="D1218" s="14" t="s">
        <v>2587</v>
      </c>
    </row>
    <row r="1219" spans="1:4" ht="15" customHeight="1">
      <c r="A1219" s="9"/>
      <c r="B1219" s="38" t="s">
        <v>2687</v>
      </c>
      <c r="C1219" s="36">
        <v>2</v>
      </c>
      <c r="D1219" s="14" t="s">
        <v>1103</v>
      </c>
    </row>
    <row r="1220" spans="1:4" ht="15" customHeight="1">
      <c r="A1220" s="9"/>
      <c r="B1220" s="38" t="s">
        <v>2688</v>
      </c>
      <c r="C1220" s="36">
        <v>2</v>
      </c>
      <c r="D1220" s="14" t="s">
        <v>1119</v>
      </c>
    </row>
    <row r="1221" spans="1:4" ht="15" customHeight="1">
      <c r="A1221" s="9"/>
      <c r="B1221" s="38" t="s">
        <v>2689</v>
      </c>
      <c r="C1221" s="36">
        <v>2</v>
      </c>
      <c r="D1221" s="14" t="s">
        <v>1117</v>
      </c>
    </row>
    <row r="1222" spans="1:4" ht="15" customHeight="1">
      <c r="A1222" s="9"/>
      <c r="B1222" s="39" t="s">
        <v>2676</v>
      </c>
      <c r="C1222" s="32">
        <v>1</v>
      </c>
      <c r="D1222" s="14" t="s">
        <v>530</v>
      </c>
    </row>
    <row r="1223" spans="1:4" ht="15" customHeight="1">
      <c r="A1223" s="9" t="s">
        <v>1378</v>
      </c>
      <c r="B1223" s="37" t="s">
        <v>2678</v>
      </c>
      <c r="C1223" s="34" t="s">
        <v>2608</v>
      </c>
      <c r="D1223" s="14" t="s">
        <v>2240</v>
      </c>
    </row>
    <row r="1224" spans="1:4" ht="15" customHeight="1">
      <c r="A1224" s="9"/>
      <c r="B1224" s="38" t="s">
        <v>420</v>
      </c>
      <c r="C1224" s="30" t="s">
        <v>2609</v>
      </c>
      <c r="D1224" s="14" t="s">
        <v>422</v>
      </c>
    </row>
    <row r="1225" spans="1:4" ht="15" customHeight="1">
      <c r="A1225" s="9"/>
      <c r="B1225" s="38" t="s">
        <v>420</v>
      </c>
      <c r="C1225" s="30" t="s">
        <v>2609</v>
      </c>
      <c r="D1225" s="14" t="s">
        <v>422</v>
      </c>
    </row>
    <row r="1226" spans="1:4" ht="15" customHeight="1">
      <c r="A1226" s="9"/>
      <c r="B1226" s="38" t="s">
        <v>420</v>
      </c>
      <c r="C1226" s="30" t="s">
        <v>2670</v>
      </c>
      <c r="D1226" s="14" t="s">
        <v>422</v>
      </c>
    </row>
    <row r="1227" spans="1:4" ht="15" customHeight="1">
      <c r="A1227" s="9"/>
      <c r="B1227" s="38" t="s">
        <v>420</v>
      </c>
      <c r="C1227" s="30" t="s">
        <v>2609</v>
      </c>
      <c r="D1227" s="14" t="s">
        <v>422</v>
      </c>
    </row>
    <row r="1228" spans="1:4" ht="15" customHeight="1">
      <c r="A1228" s="9"/>
      <c r="B1228" s="38" t="s">
        <v>2679</v>
      </c>
      <c r="C1228" s="34" t="s">
        <v>2608</v>
      </c>
      <c r="D1228" s="14" t="s">
        <v>462</v>
      </c>
    </row>
    <row r="1229" spans="1:4" ht="15" customHeight="1">
      <c r="A1229" s="9"/>
      <c r="B1229" s="38" t="s">
        <v>2671</v>
      </c>
      <c r="C1229" s="34" t="s">
        <v>2608</v>
      </c>
      <c r="D1229" s="14" t="s">
        <v>2107</v>
      </c>
    </row>
    <row r="1230" spans="1:4" ht="15" customHeight="1">
      <c r="A1230" s="9"/>
      <c r="B1230" s="38" t="s">
        <v>2685</v>
      </c>
      <c r="C1230" s="34" t="s">
        <v>2608</v>
      </c>
      <c r="D1230" s="14" t="s">
        <v>438</v>
      </c>
    </row>
    <row r="1231" spans="1:4" ht="15" customHeight="1">
      <c r="A1231" s="9"/>
      <c r="B1231" s="38" t="s">
        <v>2672</v>
      </c>
      <c r="C1231" s="34" t="s">
        <v>2608</v>
      </c>
      <c r="D1231" s="14" t="s">
        <v>2673</v>
      </c>
    </row>
    <row r="1232" spans="1:4" ht="15" customHeight="1">
      <c r="A1232" s="9"/>
      <c r="B1232" s="38" t="s">
        <v>2674</v>
      </c>
      <c r="C1232" s="36">
        <v>4</v>
      </c>
      <c r="D1232" s="14" t="s">
        <v>2377</v>
      </c>
    </row>
    <row r="1233" spans="1:4" ht="15" customHeight="1">
      <c r="A1233" s="9"/>
      <c r="B1233" s="38" t="s">
        <v>2617</v>
      </c>
      <c r="C1233" s="36">
        <v>1</v>
      </c>
      <c r="D1233" s="14" t="s">
        <v>2293</v>
      </c>
    </row>
    <row r="1234" spans="1:4" ht="15" customHeight="1">
      <c r="A1234" s="9"/>
      <c r="B1234" s="38" t="s">
        <v>2686</v>
      </c>
      <c r="C1234" s="36">
        <v>1</v>
      </c>
      <c r="D1234" s="14" t="s">
        <v>2587</v>
      </c>
    </row>
    <row r="1235" spans="1:4" ht="15" customHeight="1">
      <c r="A1235" s="9"/>
      <c r="B1235" s="38" t="s">
        <v>2687</v>
      </c>
      <c r="C1235" s="36">
        <v>2</v>
      </c>
      <c r="D1235" s="14" t="s">
        <v>1103</v>
      </c>
    </row>
    <row r="1236" spans="1:4" ht="15" customHeight="1">
      <c r="A1236" s="9"/>
      <c r="B1236" s="38" t="s">
        <v>2688</v>
      </c>
      <c r="C1236" s="36">
        <v>2</v>
      </c>
      <c r="D1236" s="14" t="s">
        <v>1119</v>
      </c>
    </row>
    <row r="1237" spans="1:4" ht="15" customHeight="1">
      <c r="A1237" s="9"/>
      <c r="B1237" s="38" t="s">
        <v>2689</v>
      </c>
      <c r="C1237" s="36">
        <v>2</v>
      </c>
      <c r="D1237" s="14" t="s">
        <v>1117</v>
      </c>
    </row>
    <row r="1238" spans="1:4" ht="19.5" customHeight="1">
      <c r="A1238" s="9"/>
      <c r="B1238" s="39" t="s">
        <v>2676</v>
      </c>
      <c r="C1238" s="32">
        <v>1</v>
      </c>
      <c r="D1238" s="14" t="s">
        <v>530</v>
      </c>
    </row>
    <row r="1239" spans="1:4" ht="19.5" customHeight="1">
      <c r="A1239" s="9" t="s">
        <v>1380</v>
      </c>
      <c r="B1239" s="37" t="s">
        <v>2669</v>
      </c>
      <c r="C1239" s="34" t="s">
        <v>2608</v>
      </c>
      <c r="D1239" s="14" t="s">
        <v>2096</v>
      </c>
    </row>
    <row r="1240" spans="1:4" ht="19.5" customHeight="1">
      <c r="A1240" s="9"/>
      <c r="B1240" s="38" t="s">
        <v>420</v>
      </c>
      <c r="C1240" s="30" t="s">
        <v>2670</v>
      </c>
      <c r="D1240" s="14" t="s">
        <v>422</v>
      </c>
    </row>
    <row r="1241" spans="1:4" ht="15" customHeight="1">
      <c r="A1241" s="9"/>
      <c r="B1241" s="38" t="s">
        <v>420</v>
      </c>
      <c r="C1241" s="30" t="s">
        <v>2609</v>
      </c>
      <c r="D1241" s="14" t="s">
        <v>422</v>
      </c>
    </row>
    <row r="1242" spans="1:4" ht="15" customHeight="1">
      <c r="A1242" s="9"/>
      <c r="B1242" s="38" t="s">
        <v>420</v>
      </c>
      <c r="C1242" s="30" t="s">
        <v>2609</v>
      </c>
      <c r="D1242" s="14" t="s">
        <v>422</v>
      </c>
    </row>
    <row r="1243" spans="1:4" ht="15" customHeight="1">
      <c r="A1243" s="9"/>
      <c r="B1243" s="38" t="s">
        <v>420</v>
      </c>
      <c r="C1243" s="30" t="s">
        <v>2609</v>
      </c>
      <c r="D1243" s="14" t="s">
        <v>422</v>
      </c>
    </row>
    <row r="1244" spans="1:4" ht="15" customHeight="1">
      <c r="A1244" s="9"/>
      <c r="B1244" s="38" t="s">
        <v>2671</v>
      </c>
      <c r="C1244" s="34" t="s">
        <v>2608</v>
      </c>
      <c r="D1244" s="14" t="s">
        <v>2107</v>
      </c>
    </row>
    <row r="1245" spans="1:4" ht="15" customHeight="1">
      <c r="A1245" s="9"/>
      <c r="B1245" s="38" t="s">
        <v>2685</v>
      </c>
      <c r="C1245" s="34" t="s">
        <v>2608</v>
      </c>
      <c r="D1245" s="14" t="s">
        <v>438</v>
      </c>
    </row>
    <row r="1246" spans="1:4" ht="15" customHeight="1">
      <c r="A1246" s="9"/>
      <c r="B1246" s="38" t="s">
        <v>2672</v>
      </c>
      <c r="C1246" s="34" t="s">
        <v>2608</v>
      </c>
      <c r="D1246" s="14" t="s">
        <v>2673</v>
      </c>
    </row>
    <row r="1247" spans="1:4" ht="15" customHeight="1">
      <c r="A1247" s="9"/>
      <c r="B1247" s="38" t="s">
        <v>2674</v>
      </c>
      <c r="C1247" s="36">
        <v>8</v>
      </c>
      <c r="D1247" s="14" t="s">
        <v>2377</v>
      </c>
    </row>
    <row r="1248" spans="1:4" ht="15" customHeight="1">
      <c r="A1248" s="9"/>
      <c r="B1248" s="38" t="s">
        <v>2681</v>
      </c>
      <c r="C1248" s="36">
        <v>3</v>
      </c>
      <c r="D1248" s="14" t="s">
        <v>2682</v>
      </c>
    </row>
    <row r="1249" spans="1:4" ht="15" customHeight="1">
      <c r="A1249" s="9"/>
      <c r="B1249" s="38" t="s">
        <v>2686</v>
      </c>
      <c r="C1249" s="36">
        <v>1</v>
      </c>
      <c r="D1249" s="14" t="s">
        <v>2587</v>
      </c>
    </row>
    <row r="1250" spans="1:4" ht="15" customHeight="1">
      <c r="A1250" s="9"/>
      <c r="B1250" s="38" t="s">
        <v>2687</v>
      </c>
      <c r="C1250" s="36">
        <v>2</v>
      </c>
      <c r="D1250" s="14" t="s">
        <v>1103</v>
      </c>
    </row>
    <row r="1251" spans="1:4" ht="15" customHeight="1">
      <c r="A1251" s="9"/>
      <c r="B1251" s="38" t="s">
        <v>2675</v>
      </c>
      <c r="C1251" s="36">
        <v>4</v>
      </c>
      <c r="D1251" s="14" t="s">
        <v>1105</v>
      </c>
    </row>
    <row r="1252" spans="1:4" ht="15" customHeight="1">
      <c r="A1252" s="9"/>
      <c r="B1252" s="38" t="s">
        <v>2688</v>
      </c>
      <c r="C1252" s="36">
        <v>2</v>
      </c>
      <c r="D1252" s="14" t="s">
        <v>1119</v>
      </c>
    </row>
    <row r="1253" spans="1:4" ht="15" customHeight="1">
      <c r="A1253" s="9"/>
      <c r="B1253" s="38" t="s">
        <v>2689</v>
      </c>
      <c r="C1253" s="36">
        <v>2</v>
      </c>
      <c r="D1253" s="14" t="s">
        <v>1117</v>
      </c>
    </row>
    <row r="1254" spans="1:4" ht="15" customHeight="1">
      <c r="A1254" s="9"/>
      <c r="B1254" s="39" t="s">
        <v>2676</v>
      </c>
      <c r="C1254" s="32">
        <v>3</v>
      </c>
      <c r="D1254" s="14" t="s">
        <v>530</v>
      </c>
    </row>
    <row r="1255" spans="1:4" ht="15" customHeight="1">
      <c r="A1255" s="9" t="s">
        <v>1382</v>
      </c>
      <c r="B1255" s="37" t="s">
        <v>2680</v>
      </c>
      <c r="C1255" s="34" t="s">
        <v>2608</v>
      </c>
      <c r="D1255" s="14" t="s">
        <v>2232</v>
      </c>
    </row>
    <row r="1256" spans="1:4" ht="15" customHeight="1">
      <c r="A1256" s="9"/>
      <c r="B1256" s="38" t="s">
        <v>420</v>
      </c>
      <c r="C1256" s="30" t="s">
        <v>2609</v>
      </c>
      <c r="D1256" s="14" t="s">
        <v>422</v>
      </c>
    </row>
    <row r="1257" spans="1:4" ht="15" customHeight="1">
      <c r="A1257" s="9"/>
      <c r="B1257" s="38" t="s">
        <v>420</v>
      </c>
      <c r="C1257" s="30" t="s">
        <v>2609</v>
      </c>
      <c r="D1257" s="14" t="s">
        <v>422</v>
      </c>
    </row>
    <row r="1258" spans="1:4" ht="15" customHeight="1">
      <c r="A1258" s="9"/>
      <c r="B1258" s="38" t="s">
        <v>420</v>
      </c>
      <c r="C1258" s="30" t="s">
        <v>2670</v>
      </c>
      <c r="D1258" s="14" t="s">
        <v>422</v>
      </c>
    </row>
    <row r="1259" spans="1:4" ht="15" customHeight="1">
      <c r="A1259" s="9"/>
      <c r="B1259" s="38" t="s">
        <v>420</v>
      </c>
      <c r="C1259" s="30" t="s">
        <v>2609</v>
      </c>
      <c r="D1259" s="14" t="s">
        <v>422</v>
      </c>
    </row>
    <row r="1260" spans="1:4" ht="15" customHeight="1">
      <c r="A1260" s="9"/>
      <c r="B1260" s="38" t="s">
        <v>2671</v>
      </c>
      <c r="C1260" s="34" t="s">
        <v>2608</v>
      </c>
      <c r="D1260" s="14" t="s">
        <v>2107</v>
      </c>
    </row>
    <row r="1261" spans="1:4" ht="15" customHeight="1">
      <c r="A1261" s="9"/>
      <c r="B1261" s="38" t="s">
        <v>2685</v>
      </c>
      <c r="C1261" s="34" t="s">
        <v>2608</v>
      </c>
      <c r="D1261" s="14" t="s">
        <v>438</v>
      </c>
    </row>
    <row r="1262" spans="1:4" ht="15" customHeight="1">
      <c r="A1262" s="9"/>
      <c r="B1262" s="38" t="s">
        <v>2672</v>
      </c>
      <c r="C1262" s="34" t="s">
        <v>2608</v>
      </c>
      <c r="D1262" s="14" t="s">
        <v>2673</v>
      </c>
    </row>
    <row r="1263" spans="1:4" ht="15" customHeight="1">
      <c r="A1263" s="9"/>
      <c r="B1263" s="38" t="s">
        <v>2674</v>
      </c>
      <c r="C1263" s="36">
        <v>8</v>
      </c>
      <c r="D1263" s="14" t="s">
        <v>2377</v>
      </c>
    </row>
    <row r="1264" spans="1:4" ht="15" customHeight="1">
      <c r="A1264" s="9"/>
      <c r="B1264" s="38" t="s">
        <v>2681</v>
      </c>
      <c r="C1264" s="36">
        <v>3</v>
      </c>
      <c r="D1264" s="14" t="s">
        <v>2682</v>
      </c>
    </row>
    <row r="1265" spans="1:4" ht="15" customHeight="1">
      <c r="A1265" s="9"/>
      <c r="B1265" s="38" t="s">
        <v>2686</v>
      </c>
      <c r="C1265" s="36">
        <v>1</v>
      </c>
      <c r="D1265" s="14" t="s">
        <v>2587</v>
      </c>
    </row>
    <row r="1266" spans="1:4" ht="15" customHeight="1">
      <c r="A1266" s="9"/>
      <c r="B1266" s="38" t="s">
        <v>2687</v>
      </c>
      <c r="C1266" s="36">
        <v>2</v>
      </c>
      <c r="D1266" s="14" t="s">
        <v>1103</v>
      </c>
    </row>
    <row r="1267" spans="1:4" ht="15" customHeight="1">
      <c r="A1267" s="9"/>
      <c r="B1267" s="38" t="s">
        <v>2675</v>
      </c>
      <c r="C1267" s="36">
        <v>4</v>
      </c>
      <c r="D1267" s="14" t="s">
        <v>1105</v>
      </c>
    </row>
    <row r="1268" spans="1:4" ht="15" customHeight="1">
      <c r="A1268" s="9"/>
      <c r="B1268" s="38" t="s">
        <v>2688</v>
      </c>
      <c r="C1268" s="36">
        <v>2</v>
      </c>
      <c r="D1268" s="14" t="s">
        <v>1119</v>
      </c>
    </row>
    <row r="1269" spans="1:4" ht="15" customHeight="1">
      <c r="A1269" s="9"/>
      <c r="B1269" s="38" t="s">
        <v>2689</v>
      </c>
      <c r="C1269" s="36">
        <v>2</v>
      </c>
      <c r="D1269" s="14" t="s">
        <v>1117</v>
      </c>
    </row>
    <row r="1270" spans="1:4" ht="15" customHeight="1">
      <c r="A1270" s="9"/>
      <c r="B1270" s="39" t="s">
        <v>2676</v>
      </c>
      <c r="C1270" s="32">
        <v>3</v>
      </c>
      <c r="D1270" s="14" t="s">
        <v>530</v>
      </c>
    </row>
    <row r="1271" spans="1:4" ht="15" customHeight="1">
      <c r="A1271" s="9" t="s">
        <v>1384</v>
      </c>
      <c r="B1271" s="37" t="s">
        <v>2678</v>
      </c>
      <c r="C1271" s="34" t="s">
        <v>2608</v>
      </c>
      <c r="D1271" s="14" t="s">
        <v>2240</v>
      </c>
    </row>
    <row r="1272" spans="1:4" ht="15" customHeight="1">
      <c r="A1272" s="9"/>
      <c r="B1272" s="38" t="s">
        <v>420</v>
      </c>
      <c r="C1272" s="30" t="s">
        <v>2609</v>
      </c>
      <c r="D1272" s="14" t="s">
        <v>422</v>
      </c>
    </row>
    <row r="1273" spans="1:4" ht="15" customHeight="1">
      <c r="A1273" s="9"/>
      <c r="B1273" s="38" t="s">
        <v>420</v>
      </c>
      <c r="C1273" s="30" t="s">
        <v>2609</v>
      </c>
      <c r="D1273" s="14" t="s">
        <v>422</v>
      </c>
    </row>
    <row r="1274" spans="1:4" ht="19.5" customHeight="1">
      <c r="A1274" s="9"/>
      <c r="B1274" s="38" t="s">
        <v>420</v>
      </c>
      <c r="C1274" s="30" t="s">
        <v>2670</v>
      </c>
      <c r="D1274" s="14" t="s">
        <v>422</v>
      </c>
    </row>
    <row r="1275" spans="1:4" ht="15" customHeight="1">
      <c r="A1275" s="9"/>
      <c r="B1275" s="38" t="s">
        <v>420</v>
      </c>
      <c r="C1275" s="30" t="s">
        <v>2609</v>
      </c>
      <c r="D1275" s="14" t="s">
        <v>422</v>
      </c>
    </row>
    <row r="1276" spans="1:4" ht="15" customHeight="1">
      <c r="A1276" s="9"/>
      <c r="B1276" s="38" t="s">
        <v>2671</v>
      </c>
      <c r="C1276" s="34" t="s">
        <v>2608</v>
      </c>
      <c r="D1276" s="14" t="s">
        <v>2107</v>
      </c>
    </row>
    <row r="1277" spans="1:4" ht="15" customHeight="1">
      <c r="A1277" s="9"/>
      <c r="B1277" s="38" t="s">
        <v>2685</v>
      </c>
      <c r="C1277" s="34" t="s">
        <v>2608</v>
      </c>
      <c r="D1277" s="14" t="s">
        <v>438</v>
      </c>
    </row>
    <row r="1278" spans="1:4" ht="15" customHeight="1">
      <c r="A1278" s="9"/>
      <c r="B1278" s="38" t="s">
        <v>2672</v>
      </c>
      <c r="C1278" s="34" t="s">
        <v>2608</v>
      </c>
      <c r="D1278" s="14" t="s">
        <v>2673</v>
      </c>
    </row>
    <row r="1279" spans="1:4" ht="15" customHeight="1">
      <c r="A1279" s="9"/>
      <c r="B1279" s="38" t="s">
        <v>2674</v>
      </c>
      <c r="C1279" s="36">
        <v>8</v>
      </c>
      <c r="D1279" s="14" t="s">
        <v>2377</v>
      </c>
    </row>
    <row r="1280" spans="1:4" ht="15" customHeight="1">
      <c r="A1280" s="9"/>
      <c r="B1280" s="38" t="s">
        <v>2681</v>
      </c>
      <c r="C1280" s="36">
        <v>3</v>
      </c>
      <c r="D1280" s="14" t="s">
        <v>2682</v>
      </c>
    </row>
    <row r="1281" spans="1:4" ht="15" customHeight="1">
      <c r="A1281" s="9"/>
      <c r="B1281" s="38" t="s">
        <v>2686</v>
      </c>
      <c r="C1281" s="36">
        <v>1</v>
      </c>
      <c r="D1281" s="14" t="s">
        <v>2587</v>
      </c>
    </row>
    <row r="1282" spans="1:4" ht="16.5" customHeight="1">
      <c r="A1282" s="9"/>
      <c r="B1282" s="38" t="s">
        <v>2687</v>
      </c>
      <c r="C1282" s="36">
        <v>2</v>
      </c>
      <c r="D1282" s="14" t="s">
        <v>1103</v>
      </c>
    </row>
    <row r="1283" spans="1:4" ht="15" customHeight="1">
      <c r="A1283" s="9"/>
      <c r="B1283" s="38" t="s">
        <v>2675</v>
      </c>
      <c r="C1283" s="36">
        <v>4</v>
      </c>
      <c r="D1283" s="14" t="s">
        <v>1105</v>
      </c>
    </row>
    <row r="1284" spans="1:4" ht="15.75" customHeight="1">
      <c r="A1284" s="9"/>
      <c r="B1284" s="38" t="s">
        <v>2688</v>
      </c>
      <c r="C1284" s="36">
        <v>2</v>
      </c>
      <c r="D1284" s="14" t="s">
        <v>1119</v>
      </c>
    </row>
    <row r="1285" spans="1:4" ht="13.5" customHeight="1">
      <c r="A1285" s="9"/>
      <c r="B1285" s="38" t="s">
        <v>2689</v>
      </c>
      <c r="C1285" s="36">
        <v>2</v>
      </c>
      <c r="D1285" s="14" t="s">
        <v>1117</v>
      </c>
    </row>
    <row r="1286" spans="1:4" ht="19.5" customHeight="1">
      <c r="A1286" s="9"/>
      <c r="B1286" s="39" t="s">
        <v>2676</v>
      </c>
      <c r="C1286" s="32">
        <v>3</v>
      </c>
      <c r="D1286" s="14" t="s">
        <v>530</v>
      </c>
    </row>
    <row r="1287" spans="1:4" ht="19.5" customHeight="1">
      <c r="A1287" s="35"/>
      <c r="B1287" s="38"/>
      <c r="C1287" s="36"/>
      <c r="D1287" s="14"/>
    </row>
    <row r="1288" spans="1:4" ht="19.5" customHeight="1">
      <c r="A1288" s="35"/>
      <c r="B1288" s="38"/>
      <c r="C1288" s="36"/>
      <c r="D1288" s="14"/>
    </row>
    <row r="1289" spans="1:4" ht="19.5" customHeight="1">
      <c r="A1289" s="9" t="s">
        <v>1386</v>
      </c>
      <c r="B1289" s="37" t="s">
        <v>2669</v>
      </c>
      <c r="C1289" s="34" t="s">
        <v>2608</v>
      </c>
      <c r="D1289" s="14" t="s">
        <v>2096</v>
      </c>
    </row>
    <row r="1290" spans="1:4" ht="19.5" customHeight="1">
      <c r="A1290" s="9"/>
      <c r="B1290" s="38" t="s">
        <v>420</v>
      </c>
      <c r="C1290" s="30" t="s">
        <v>2609</v>
      </c>
      <c r="D1290" s="14" t="s">
        <v>422</v>
      </c>
    </row>
    <row r="1291" spans="1:4" ht="19.5" customHeight="1">
      <c r="A1291" s="9"/>
      <c r="B1291" s="38" t="s">
        <v>420</v>
      </c>
      <c r="C1291" s="30" t="s">
        <v>2670</v>
      </c>
      <c r="D1291" s="14" t="s">
        <v>422</v>
      </c>
    </row>
    <row r="1292" spans="1:4" ht="19.5" customHeight="1">
      <c r="A1292" s="9"/>
      <c r="B1292" s="38" t="s">
        <v>420</v>
      </c>
      <c r="C1292" s="30" t="s">
        <v>2609</v>
      </c>
      <c r="D1292" s="14" t="s">
        <v>422</v>
      </c>
    </row>
    <row r="1293" spans="1:4" ht="15" customHeight="1">
      <c r="A1293" s="9"/>
      <c r="B1293" s="38" t="s">
        <v>420</v>
      </c>
      <c r="C1293" s="30" t="s">
        <v>2609</v>
      </c>
      <c r="D1293" s="14" t="s">
        <v>422</v>
      </c>
    </row>
    <row r="1294" spans="1:4" ht="19.5" customHeight="1">
      <c r="A1294" s="9"/>
      <c r="B1294" s="38" t="s">
        <v>2683</v>
      </c>
      <c r="C1294" s="34" t="s">
        <v>2608</v>
      </c>
      <c r="D1294" s="14" t="s">
        <v>2109</v>
      </c>
    </row>
    <row r="1295" spans="1:4" ht="19.5" customHeight="1">
      <c r="A1295" s="9"/>
      <c r="B1295" s="38" t="s">
        <v>2685</v>
      </c>
      <c r="C1295" s="34" t="s">
        <v>2608</v>
      </c>
      <c r="D1295" s="14" t="s">
        <v>438</v>
      </c>
    </row>
    <row r="1296" spans="1:4" ht="19.5" customHeight="1">
      <c r="A1296" s="9"/>
      <c r="B1296" s="38" t="s">
        <v>2672</v>
      </c>
      <c r="C1296" s="34" t="s">
        <v>2608</v>
      </c>
      <c r="D1296" s="14" t="s">
        <v>2673</v>
      </c>
    </row>
    <row r="1297" spans="1:4" ht="19.5" customHeight="1">
      <c r="A1297" s="9"/>
      <c r="B1297" s="38" t="s">
        <v>2674</v>
      </c>
      <c r="C1297" s="36">
        <v>4</v>
      </c>
      <c r="D1297" s="14" t="s">
        <v>2377</v>
      </c>
    </row>
    <row r="1298" spans="1:4" ht="19.5" customHeight="1">
      <c r="A1298" s="9"/>
      <c r="B1298" s="38" t="s">
        <v>2617</v>
      </c>
      <c r="C1298" s="36">
        <v>1</v>
      </c>
      <c r="D1298" s="14" t="s">
        <v>2293</v>
      </c>
    </row>
    <row r="1299" spans="1:4" ht="19.5" customHeight="1">
      <c r="A1299" s="9"/>
      <c r="B1299" s="38" t="s">
        <v>2686</v>
      </c>
      <c r="C1299" s="36">
        <v>1</v>
      </c>
      <c r="D1299" s="14" t="s">
        <v>2587</v>
      </c>
    </row>
    <row r="1300" spans="1:4" ht="19.5" customHeight="1">
      <c r="A1300" s="9"/>
      <c r="B1300" s="38" t="s">
        <v>2687</v>
      </c>
      <c r="C1300" s="36">
        <v>2</v>
      </c>
      <c r="D1300" s="14" t="s">
        <v>1103</v>
      </c>
    </row>
    <row r="1301" spans="1:4" ht="19.5" customHeight="1">
      <c r="A1301" s="9"/>
      <c r="B1301" s="38" t="s">
        <v>2688</v>
      </c>
      <c r="C1301" s="36">
        <v>2</v>
      </c>
      <c r="D1301" s="14" t="s">
        <v>1119</v>
      </c>
    </row>
    <row r="1302" spans="1:4" ht="19.5" customHeight="1">
      <c r="A1302" s="9"/>
      <c r="B1302" s="38" t="s">
        <v>2689</v>
      </c>
      <c r="C1302" s="36">
        <v>2</v>
      </c>
      <c r="D1302" s="14" t="s">
        <v>1117</v>
      </c>
    </row>
    <row r="1303" spans="1:4" ht="19.5" customHeight="1">
      <c r="A1303" s="9"/>
      <c r="B1303" s="39" t="s">
        <v>2676</v>
      </c>
      <c r="C1303" s="32">
        <v>1</v>
      </c>
      <c r="D1303" s="14" t="s">
        <v>530</v>
      </c>
    </row>
    <row r="1304" spans="1:4" ht="19.5" customHeight="1">
      <c r="A1304" s="9" t="s">
        <v>1388</v>
      </c>
      <c r="B1304" s="37" t="s">
        <v>2680</v>
      </c>
      <c r="C1304" s="34" t="s">
        <v>2608</v>
      </c>
      <c r="D1304" s="14" t="s">
        <v>2232</v>
      </c>
    </row>
    <row r="1305" spans="1:4" ht="19.5" customHeight="1">
      <c r="A1305" s="9"/>
      <c r="B1305" s="38" t="s">
        <v>420</v>
      </c>
      <c r="C1305" s="30" t="s">
        <v>2609</v>
      </c>
      <c r="D1305" s="14" t="s">
        <v>422</v>
      </c>
    </row>
    <row r="1306" spans="1:4" ht="19.5" customHeight="1">
      <c r="A1306" s="9"/>
      <c r="B1306" s="38" t="s">
        <v>420</v>
      </c>
      <c r="C1306" s="30" t="s">
        <v>2609</v>
      </c>
      <c r="D1306" s="14" t="s">
        <v>422</v>
      </c>
    </row>
    <row r="1307" spans="1:4" ht="19.5" customHeight="1">
      <c r="A1307" s="9"/>
      <c r="B1307" s="38" t="s">
        <v>420</v>
      </c>
      <c r="C1307" s="30" t="s">
        <v>2670</v>
      </c>
      <c r="D1307" s="14" t="s">
        <v>422</v>
      </c>
    </row>
    <row r="1308" spans="1:4" ht="15" customHeight="1">
      <c r="A1308" s="9"/>
      <c r="B1308" s="38" t="s">
        <v>420</v>
      </c>
      <c r="C1308" s="30" t="s">
        <v>2609</v>
      </c>
      <c r="D1308" s="14" t="s">
        <v>422</v>
      </c>
    </row>
    <row r="1309" spans="1:4" ht="19.5" customHeight="1">
      <c r="A1309" s="9"/>
      <c r="B1309" s="38" t="s">
        <v>2683</v>
      </c>
      <c r="C1309" s="34" t="s">
        <v>2608</v>
      </c>
      <c r="D1309" s="14" t="s">
        <v>2109</v>
      </c>
    </row>
    <row r="1310" spans="1:4" ht="19.5" customHeight="1">
      <c r="A1310" s="9"/>
      <c r="B1310" s="38" t="s">
        <v>2685</v>
      </c>
      <c r="C1310" s="34" t="s">
        <v>2608</v>
      </c>
      <c r="D1310" s="14" t="s">
        <v>438</v>
      </c>
    </row>
    <row r="1311" spans="1:4" ht="19.5" customHeight="1">
      <c r="A1311" s="9"/>
      <c r="B1311" s="38" t="s">
        <v>2672</v>
      </c>
      <c r="C1311" s="34" t="s">
        <v>2608</v>
      </c>
      <c r="D1311" s="14" t="s">
        <v>2673</v>
      </c>
    </row>
    <row r="1312" spans="1:4" ht="15.75" customHeight="1">
      <c r="A1312" s="9"/>
      <c r="B1312" s="38" t="s">
        <v>2674</v>
      </c>
      <c r="C1312" s="36">
        <v>4</v>
      </c>
      <c r="D1312" s="14" t="s">
        <v>2377</v>
      </c>
    </row>
    <row r="1313" spans="1:4" ht="15" customHeight="1">
      <c r="A1313" s="9"/>
      <c r="B1313" s="38" t="s">
        <v>2617</v>
      </c>
      <c r="C1313" s="36">
        <v>1</v>
      </c>
      <c r="D1313" s="14" t="s">
        <v>2293</v>
      </c>
    </row>
    <row r="1314" spans="1:4" ht="15" customHeight="1">
      <c r="A1314" s="9"/>
      <c r="B1314" s="38" t="s">
        <v>2686</v>
      </c>
      <c r="C1314" s="36">
        <v>1</v>
      </c>
      <c r="D1314" s="14" t="s">
        <v>2587</v>
      </c>
    </row>
    <row r="1315" spans="1:4" ht="15" customHeight="1">
      <c r="A1315" s="9"/>
      <c r="B1315" s="38" t="s">
        <v>2687</v>
      </c>
      <c r="C1315" s="36">
        <v>2</v>
      </c>
      <c r="D1315" s="14" t="s">
        <v>1103</v>
      </c>
    </row>
    <row r="1316" spans="1:4" ht="15" customHeight="1">
      <c r="A1316" s="9"/>
      <c r="B1316" s="38" t="s">
        <v>2688</v>
      </c>
      <c r="C1316" s="36">
        <v>2</v>
      </c>
      <c r="D1316" s="14" t="s">
        <v>1119</v>
      </c>
    </row>
    <row r="1317" spans="1:4" ht="15" customHeight="1">
      <c r="A1317" s="9"/>
      <c r="B1317" s="38" t="s">
        <v>2689</v>
      </c>
      <c r="C1317" s="36">
        <v>2</v>
      </c>
      <c r="D1317" s="14" t="s">
        <v>1117</v>
      </c>
    </row>
    <row r="1318" spans="1:4" ht="15" customHeight="1">
      <c r="A1318" s="9"/>
      <c r="B1318" s="39" t="s">
        <v>2676</v>
      </c>
      <c r="C1318" s="32">
        <v>1</v>
      </c>
      <c r="D1318" s="14" t="s">
        <v>530</v>
      </c>
    </row>
    <row r="1319" spans="1:4" ht="15" customHeight="1">
      <c r="A1319" s="9" t="s">
        <v>1390</v>
      </c>
      <c r="B1319" s="37" t="s">
        <v>2678</v>
      </c>
      <c r="C1319" s="34" t="s">
        <v>2608</v>
      </c>
      <c r="D1319" s="14" t="s">
        <v>2240</v>
      </c>
    </row>
    <row r="1320" spans="1:4" ht="15" customHeight="1">
      <c r="A1320" s="9"/>
      <c r="B1320" s="38" t="s">
        <v>420</v>
      </c>
      <c r="C1320" s="30" t="s">
        <v>2609</v>
      </c>
      <c r="D1320" s="14" t="s">
        <v>422</v>
      </c>
    </row>
    <row r="1321" spans="1:4" ht="15" customHeight="1">
      <c r="A1321" s="9"/>
      <c r="B1321" s="38" t="s">
        <v>420</v>
      </c>
      <c r="C1321" s="30" t="s">
        <v>2670</v>
      </c>
      <c r="D1321" s="14" t="s">
        <v>422</v>
      </c>
    </row>
    <row r="1322" spans="1:4" ht="15" customHeight="1">
      <c r="A1322" s="9"/>
      <c r="B1322" s="38" t="s">
        <v>420</v>
      </c>
      <c r="C1322" s="30" t="s">
        <v>2609</v>
      </c>
      <c r="D1322" s="14" t="s">
        <v>422</v>
      </c>
    </row>
    <row r="1323" spans="1:4" ht="15" customHeight="1">
      <c r="A1323" s="9"/>
      <c r="B1323" s="38" t="s">
        <v>420</v>
      </c>
      <c r="C1323" s="30" t="s">
        <v>2609</v>
      </c>
      <c r="D1323" s="14" t="s">
        <v>422</v>
      </c>
    </row>
    <row r="1324" spans="1:4" ht="15" customHeight="1">
      <c r="A1324" s="9"/>
      <c r="B1324" s="38" t="s">
        <v>2683</v>
      </c>
      <c r="C1324" s="34" t="s">
        <v>2608</v>
      </c>
      <c r="D1324" s="14" t="s">
        <v>2109</v>
      </c>
    </row>
    <row r="1325" spans="1:4" ht="15" customHeight="1">
      <c r="A1325" s="9"/>
      <c r="B1325" s="38" t="s">
        <v>2685</v>
      </c>
      <c r="C1325" s="34" t="s">
        <v>2608</v>
      </c>
      <c r="D1325" s="14" t="s">
        <v>438</v>
      </c>
    </row>
    <row r="1326" spans="1:4" ht="15" customHeight="1">
      <c r="A1326" s="9"/>
      <c r="B1326" s="38" t="s">
        <v>2672</v>
      </c>
      <c r="C1326" s="34" t="s">
        <v>2608</v>
      </c>
      <c r="D1326" s="14" t="s">
        <v>2673</v>
      </c>
    </row>
    <row r="1327" spans="1:4" ht="15" customHeight="1">
      <c r="A1327" s="9"/>
      <c r="B1327" s="38" t="s">
        <v>2674</v>
      </c>
      <c r="C1327" s="36">
        <v>4</v>
      </c>
      <c r="D1327" s="14" t="s">
        <v>2377</v>
      </c>
    </row>
    <row r="1328" spans="1:4" ht="15" customHeight="1">
      <c r="A1328" s="9"/>
      <c r="B1328" s="38" t="s">
        <v>2617</v>
      </c>
      <c r="C1328" s="36">
        <v>1</v>
      </c>
      <c r="D1328" s="14" t="s">
        <v>2293</v>
      </c>
    </row>
    <row r="1329" spans="1:4" ht="15" customHeight="1">
      <c r="A1329" s="9"/>
      <c r="B1329" s="38" t="s">
        <v>2686</v>
      </c>
      <c r="C1329" s="36">
        <v>1</v>
      </c>
      <c r="D1329" s="14" t="s">
        <v>2587</v>
      </c>
    </row>
    <row r="1330" spans="1:4" ht="15" customHeight="1">
      <c r="A1330" s="9"/>
      <c r="B1330" s="38" t="s">
        <v>2687</v>
      </c>
      <c r="C1330" s="36">
        <v>2</v>
      </c>
      <c r="D1330" s="14" t="s">
        <v>1103</v>
      </c>
    </row>
    <row r="1331" spans="1:4" ht="15" customHeight="1">
      <c r="A1331" s="9"/>
      <c r="B1331" s="38" t="s">
        <v>2688</v>
      </c>
      <c r="C1331" s="36">
        <v>2</v>
      </c>
      <c r="D1331" s="14" t="s">
        <v>1119</v>
      </c>
    </row>
    <row r="1332" spans="1:4" ht="15" customHeight="1">
      <c r="A1332" s="9"/>
      <c r="B1332" s="38" t="s">
        <v>2689</v>
      </c>
      <c r="C1332" s="36">
        <v>2</v>
      </c>
      <c r="D1332" s="14" t="s">
        <v>1117</v>
      </c>
    </row>
    <row r="1333" spans="1:4" ht="15" customHeight="1">
      <c r="A1333" s="9"/>
      <c r="B1333" s="39" t="s">
        <v>2676</v>
      </c>
      <c r="C1333" s="32">
        <v>1</v>
      </c>
      <c r="D1333" s="14" t="s">
        <v>530</v>
      </c>
    </row>
    <row r="1334" spans="1:4" ht="19.5" customHeight="1">
      <c r="A1334" s="9" t="s">
        <v>1392</v>
      </c>
      <c r="B1334" s="37" t="s">
        <v>2669</v>
      </c>
      <c r="C1334" s="34" t="s">
        <v>2608</v>
      </c>
      <c r="D1334" s="14" t="s">
        <v>2096</v>
      </c>
    </row>
    <row r="1335" spans="1:4" ht="19.5" customHeight="1">
      <c r="A1335" s="9"/>
      <c r="B1335" s="38" t="s">
        <v>420</v>
      </c>
      <c r="C1335" s="30" t="s">
        <v>2609</v>
      </c>
      <c r="D1335" s="14" t="s">
        <v>422</v>
      </c>
    </row>
    <row r="1336" spans="1:4" ht="19.5" customHeight="1">
      <c r="A1336" s="9"/>
      <c r="B1336" s="38" t="s">
        <v>420</v>
      </c>
      <c r="C1336" s="30" t="s">
        <v>2670</v>
      </c>
      <c r="D1336" s="14" t="s">
        <v>422</v>
      </c>
    </row>
    <row r="1337" spans="1:4" ht="19.5" customHeight="1">
      <c r="A1337" s="9"/>
      <c r="B1337" s="38" t="s">
        <v>420</v>
      </c>
      <c r="C1337" s="30" t="s">
        <v>2609</v>
      </c>
      <c r="D1337" s="14" t="s">
        <v>422</v>
      </c>
    </row>
    <row r="1338" spans="1:4" ht="15" customHeight="1">
      <c r="A1338" s="9"/>
      <c r="B1338" s="38" t="s">
        <v>420</v>
      </c>
      <c r="C1338" s="30" t="s">
        <v>2609</v>
      </c>
      <c r="D1338" s="14" t="s">
        <v>422</v>
      </c>
    </row>
    <row r="1339" spans="1:4" ht="19.5" customHeight="1">
      <c r="A1339" s="9"/>
      <c r="B1339" s="38" t="s">
        <v>2683</v>
      </c>
      <c r="C1339" s="34" t="s">
        <v>2608</v>
      </c>
      <c r="D1339" s="14" t="s">
        <v>2109</v>
      </c>
    </row>
    <row r="1340" spans="1:4" ht="19.5" customHeight="1">
      <c r="A1340" s="9"/>
      <c r="B1340" s="38" t="s">
        <v>2679</v>
      </c>
      <c r="C1340" s="34" t="s">
        <v>2608</v>
      </c>
      <c r="D1340" s="14" t="s">
        <v>462</v>
      </c>
    </row>
    <row r="1341" spans="1:4" ht="19.5" customHeight="1">
      <c r="A1341" s="9"/>
      <c r="B1341" s="38" t="s">
        <v>2685</v>
      </c>
      <c r="C1341" s="34" t="s">
        <v>2608</v>
      </c>
      <c r="D1341" s="14" t="s">
        <v>438</v>
      </c>
    </row>
    <row r="1342" spans="1:4" ht="19.5" customHeight="1">
      <c r="A1342" s="9"/>
      <c r="B1342" s="38" t="s">
        <v>2672</v>
      </c>
      <c r="C1342" s="34" t="s">
        <v>2608</v>
      </c>
      <c r="D1342" s="14" t="s">
        <v>2673</v>
      </c>
    </row>
    <row r="1343" spans="1:4" ht="19.5" customHeight="1">
      <c r="A1343" s="9"/>
      <c r="B1343" s="38" t="s">
        <v>2674</v>
      </c>
      <c r="C1343" s="36">
        <v>4</v>
      </c>
      <c r="D1343" s="14" t="s">
        <v>2377</v>
      </c>
    </row>
    <row r="1344" spans="1:4" ht="19.5" customHeight="1">
      <c r="A1344" s="9"/>
      <c r="B1344" s="38" t="s">
        <v>2617</v>
      </c>
      <c r="C1344" s="36">
        <v>1</v>
      </c>
      <c r="D1344" s="14" t="s">
        <v>2293</v>
      </c>
    </row>
    <row r="1345" spans="1:4" ht="19.5" customHeight="1">
      <c r="A1345" s="9"/>
      <c r="B1345" s="38" t="s">
        <v>2686</v>
      </c>
      <c r="C1345" s="36">
        <v>1</v>
      </c>
      <c r="D1345" s="14" t="s">
        <v>2587</v>
      </c>
    </row>
    <row r="1346" spans="1:4" ht="19.5" customHeight="1">
      <c r="A1346" s="9"/>
      <c r="B1346" s="38" t="s">
        <v>2687</v>
      </c>
      <c r="C1346" s="36">
        <v>2</v>
      </c>
      <c r="D1346" s="14" t="s">
        <v>1103</v>
      </c>
    </row>
    <row r="1347" spans="1:4" ht="19.5" customHeight="1">
      <c r="A1347" s="9"/>
      <c r="B1347" s="38" t="s">
        <v>2688</v>
      </c>
      <c r="C1347" s="36">
        <v>2</v>
      </c>
      <c r="D1347" s="14" t="s">
        <v>1119</v>
      </c>
    </row>
    <row r="1348" spans="1:4" ht="19.5" customHeight="1">
      <c r="A1348" s="9"/>
      <c r="B1348" s="38" t="s">
        <v>2689</v>
      </c>
      <c r="C1348" s="36">
        <v>2</v>
      </c>
      <c r="D1348" s="14" t="s">
        <v>1117</v>
      </c>
    </row>
    <row r="1349" spans="1:4" ht="19.5" customHeight="1">
      <c r="A1349" s="9"/>
      <c r="B1349" s="39" t="s">
        <v>2676</v>
      </c>
      <c r="C1349" s="32">
        <v>1</v>
      </c>
      <c r="D1349" s="14" t="s">
        <v>530</v>
      </c>
    </row>
    <row r="1350" spans="1:4" ht="17.25" customHeight="1">
      <c r="A1350" s="9" t="s">
        <v>1394</v>
      </c>
      <c r="B1350" s="37" t="s">
        <v>2680</v>
      </c>
      <c r="C1350" s="34" t="s">
        <v>2608</v>
      </c>
      <c r="D1350" s="14" t="s">
        <v>2232</v>
      </c>
    </row>
    <row r="1351" spans="1:4" ht="15" customHeight="1">
      <c r="A1351" s="9"/>
      <c r="B1351" s="38" t="s">
        <v>420</v>
      </c>
      <c r="C1351" s="30" t="s">
        <v>2609</v>
      </c>
      <c r="D1351" s="14" t="s">
        <v>422</v>
      </c>
    </row>
    <row r="1352" spans="1:4" ht="15" customHeight="1">
      <c r="A1352" s="9"/>
      <c r="B1352" s="38" t="s">
        <v>420</v>
      </c>
      <c r="C1352" s="30" t="s">
        <v>2609</v>
      </c>
      <c r="D1352" s="14" t="s">
        <v>422</v>
      </c>
    </row>
    <row r="1353" spans="1:4" ht="19.5" customHeight="1">
      <c r="A1353" s="9"/>
      <c r="B1353" s="38" t="s">
        <v>420</v>
      </c>
      <c r="C1353" s="30" t="s">
        <v>2670</v>
      </c>
      <c r="D1353" s="14" t="s">
        <v>422</v>
      </c>
    </row>
    <row r="1354" spans="1:4" ht="15" customHeight="1">
      <c r="A1354" s="9"/>
      <c r="B1354" s="38" t="s">
        <v>420</v>
      </c>
      <c r="C1354" s="30" t="s">
        <v>2609</v>
      </c>
      <c r="D1354" s="14" t="s">
        <v>422</v>
      </c>
    </row>
    <row r="1355" spans="1:4" ht="15" customHeight="1">
      <c r="A1355" s="9"/>
      <c r="B1355" s="38" t="s">
        <v>2683</v>
      </c>
      <c r="C1355" s="34" t="s">
        <v>2608</v>
      </c>
      <c r="D1355" s="14" t="s">
        <v>2109</v>
      </c>
    </row>
    <row r="1356" spans="1:4" ht="15" customHeight="1">
      <c r="A1356" s="9"/>
      <c r="B1356" s="38" t="s">
        <v>2679</v>
      </c>
      <c r="C1356" s="34" t="s">
        <v>2608</v>
      </c>
      <c r="D1356" s="14" t="s">
        <v>462</v>
      </c>
    </row>
    <row r="1357" spans="1:4" ht="15" customHeight="1">
      <c r="A1357" s="9"/>
      <c r="B1357" s="38" t="s">
        <v>2685</v>
      </c>
      <c r="C1357" s="34" t="s">
        <v>2608</v>
      </c>
      <c r="D1357" s="14" t="s">
        <v>438</v>
      </c>
    </row>
    <row r="1358" spans="1:4" ht="15" customHeight="1">
      <c r="A1358" s="9"/>
      <c r="B1358" s="38" t="s">
        <v>2672</v>
      </c>
      <c r="C1358" s="34" t="s">
        <v>2608</v>
      </c>
      <c r="D1358" s="14" t="s">
        <v>2673</v>
      </c>
    </row>
    <row r="1359" spans="1:4" ht="12.75" customHeight="1">
      <c r="A1359" s="9"/>
      <c r="B1359" s="38" t="s">
        <v>2674</v>
      </c>
      <c r="C1359" s="36">
        <v>4</v>
      </c>
      <c r="D1359" s="14" t="s">
        <v>2377</v>
      </c>
    </row>
    <row r="1360" spans="1:4" ht="12.75" customHeight="1">
      <c r="A1360" s="9"/>
      <c r="B1360" s="38" t="s">
        <v>2617</v>
      </c>
      <c r="C1360" s="36">
        <v>1</v>
      </c>
      <c r="D1360" s="14" t="s">
        <v>2293</v>
      </c>
    </row>
    <row r="1361" spans="1:4" ht="15" customHeight="1">
      <c r="A1361" s="9"/>
      <c r="B1361" s="38" t="s">
        <v>2686</v>
      </c>
      <c r="C1361" s="36">
        <v>1</v>
      </c>
      <c r="D1361" s="14" t="s">
        <v>2587</v>
      </c>
    </row>
    <row r="1362" spans="1:4" ht="12.75" customHeight="1">
      <c r="A1362" s="9"/>
      <c r="B1362" s="38" t="s">
        <v>2687</v>
      </c>
      <c r="C1362" s="36">
        <v>2</v>
      </c>
      <c r="D1362" s="14" t="s">
        <v>1103</v>
      </c>
    </row>
    <row r="1363" spans="1:4" ht="15" customHeight="1">
      <c r="A1363" s="9"/>
      <c r="B1363" s="38" t="s">
        <v>2688</v>
      </c>
      <c r="C1363" s="36">
        <v>2</v>
      </c>
      <c r="D1363" s="14" t="s">
        <v>1119</v>
      </c>
    </row>
    <row r="1364" spans="1:4" ht="12" customHeight="1">
      <c r="A1364" s="9"/>
      <c r="B1364" s="38" t="s">
        <v>2689</v>
      </c>
      <c r="C1364" s="36">
        <v>2</v>
      </c>
      <c r="D1364" s="14" t="s">
        <v>1117</v>
      </c>
    </row>
    <row r="1365" spans="1:4" ht="15" customHeight="1">
      <c r="A1365" s="9"/>
      <c r="B1365" s="39" t="s">
        <v>2676</v>
      </c>
      <c r="C1365" s="32">
        <v>1</v>
      </c>
      <c r="D1365" s="14" t="s">
        <v>530</v>
      </c>
    </row>
    <row r="1366" spans="1:4" ht="15" customHeight="1">
      <c r="A1366" s="9" t="s">
        <v>1396</v>
      </c>
      <c r="B1366" s="37" t="s">
        <v>2678</v>
      </c>
      <c r="C1366" s="34" t="s">
        <v>2608</v>
      </c>
      <c r="D1366" s="14" t="s">
        <v>2240</v>
      </c>
    </row>
    <row r="1367" spans="1:4" ht="15" customHeight="1">
      <c r="A1367" s="9"/>
      <c r="B1367" s="38" t="s">
        <v>420</v>
      </c>
      <c r="C1367" s="30" t="s">
        <v>2609</v>
      </c>
      <c r="D1367" s="14" t="s">
        <v>422</v>
      </c>
    </row>
    <row r="1368" spans="1:4" ht="15" customHeight="1">
      <c r="A1368" s="9"/>
      <c r="B1368" s="38" t="s">
        <v>420</v>
      </c>
      <c r="C1368" s="30" t="s">
        <v>2609</v>
      </c>
      <c r="D1368" s="14" t="s">
        <v>422</v>
      </c>
    </row>
    <row r="1369" spans="1:4" ht="15" customHeight="1">
      <c r="A1369" s="9"/>
      <c r="B1369" s="38" t="s">
        <v>420</v>
      </c>
      <c r="C1369" s="30" t="s">
        <v>2670</v>
      </c>
      <c r="D1369" s="14" t="s">
        <v>422</v>
      </c>
    </row>
    <row r="1370" spans="1:4" ht="15" customHeight="1">
      <c r="A1370" s="9"/>
      <c r="B1370" s="38" t="s">
        <v>420</v>
      </c>
      <c r="C1370" s="30" t="s">
        <v>2609</v>
      </c>
      <c r="D1370" s="14" t="s">
        <v>422</v>
      </c>
    </row>
    <row r="1371" spans="1:4" ht="12" customHeight="1">
      <c r="A1371" s="9"/>
      <c r="B1371" s="38" t="s">
        <v>2683</v>
      </c>
      <c r="C1371" s="34" t="s">
        <v>2608</v>
      </c>
      <c r="D1371" s="14" t="s">
        <v>2109</v>
      </c>
    </row>
    <row r="1372" spans="1:4" ht="12.75" customHeight="1">
      <c r="A1372" s="9"/>
      <c r="B1372" s="38" t="s">
        <v>2679</v>
      </c>
      <c r="C1372" s="34" t="s">
        <v>2608</v>
      </c>
      <c r="D1372" s="14" t="s">
        <v>462</v>
      </c>
    </row>
    <row r="1373" spans="1:4" ht="12" customHeight="1">
      <c r="A1373" s="9"/>
      <c r="B1373" s="38" t="s">
        <v>2685</v>
      </c>
      <c r="C1373" s="34" t="s">
        <v>2608</v>
      </c>
      <c r="D1373" s="14" t="s">
        <v>438</v>
      </c>
    </row>
    <row r="1374" spans="1:4" ht="13.5" customHeight="1">
      <c r="A1374" s="9"/>
      <c r="B1374" s="38" t="s">
        <v>2672</v>
      </c>
      <c r="C1374" s="34" t="s">
        <v>2608</v>
      </c>
      <c r="D1374" s="14" t="s">
        <v>2673</v>
      </c>
    </row>
    <row r="1375" spans="1:4" ht="12" customHeight="1">
      <c r="A1375" s="9"/>
      <c r="B1375" s="38" t="s">
        <v>2674</v>
      </c>
      <c r="C1375" s="36">
        <v>4</v>
      </c>
      <c r="D1375" s="14" t="s">
        <v>2377</v>
      </c>
    </row>
    <row r="1376" spans="1:4" ht="12" customHeight="1">
      <c r="A1376" s="9"/>
      <c r="B1376" s="38" t="s">
        <v>2617</v>
      </c>
      <c r="C1376" s="36">
        <v>1</v>
      </c>
      <c r="D1376" s="14" t="s">
        <v>2293</v>
      </c>
    </row>
    <row r="1377" spans="1:4" ht="15" customHeight="1">
      <c r="A1377" s="9"/>
      <c r="B1377" s="38" t="s">
        <v>2686</v>
      </c>
      <c r="C1377" s="36">
        <v>1</v>
      </c>
      <c r="D1377" s="14" t="s">
        <v>2587</v>
      </c>
    </row>
    <row r="1378" spans="1:4" ht="15" customHeight="1">
      <c r="A1378" s="9"/>
      <c r="B1378" s="38" t="s">
        <v>2687</v>
      </c>
      <c r="C1378" s="36">
        <v>2</v>
      </c>
      <c r="D1378" s="14" t="s">
        <v>1103</v>
      </c>
    </row>
    <row r="1379" spans="1:4" ht="15" customHeight="1">
      <c r="A1379" s="9"/>
      <c r="B1379" s="38" t="s">
        <v>2688</v>
      </c>
      <c r="C1379" s="36">
        <v>2</v>
      </c>
      <c r="D1379" s="14" t="s">
        <v>1119</v>
      </c>
    </row>
    <row r="1380" spans="1:4" ht="15" customHeight="1">
      <c r="A1380" s="9"/>
      <c r="B1380" s="38" t="s">
        <v>2689</v>
      </c>
      <c r="C1380" s="36">
        <v>2</v>
      </c>
      <c r="D1380" s="14" t="s">
        <v>1117</v>
      </c>
    </row>
    <row r="1381" spans="1:4" ht="15" customHeight="1">
      <c r="A1381" s="9"/>
      <c r="B1381" s="39" t="s">
        <v>2676</v>
      </c>
      <c r="C1381" s="32">
        <v>1</v>
      </c>
      <c r="D1381" s="14" t="s">
        <v>530</v>
      </c>
    </row>
    <row r="1382" spans="1:4" ht="19.5" customHeight="1">
      <c r="A1382" s="9" t="s">
        <v>1398</v>
      </c>
      <c r="B1382" s="37" t="s">
        <v>2669</v>
      </c>
      <c r="C1382" s="34" t="s">
        <v>2608</v>
      </c>
      <c r="D1382" s="14" t="s">
        <v>2096</v>
      </c>
    </row>
    <row r="1383" spans="1:4" ht="19.5" customHeight="1">
      <c r="A1383" s="9"/>
      <c r="B1383" s="38" t="s">
        <v>420</v>
      </c>
      <c r="C1383" s="30" t="s">
        <v>2609</v>
      </c>
      <c r="D1383" s="14" t="s">
        <v>422</v>
      </c>
    </row>
    <row r="1384" spans="1:4" ht="19.5" customHeight="1">
      <c r="A1384" s="9"/>
      <c r="B1384" s="38" t="s">
        <v>420</v>
      </c>
      <c r="C1384" s="30" t="s">
        <v>2670</v>
      </c>
      <c r="D1384" s="14" t="s">
        <v>422</v>
      </c>
    </row>
    <row r="1385" spans="1:4" ht="19.5" customHeight="1">
      <c r="A1385" s="9"/>
      <c r="B1385" s="38" t="s">
        <v>420</v>
      </c>
      <c r="C1385" s="30" t="s">
        <v>2609</v>
      </c>
      <c r="D1385" s="14" t="s">
        <v>422</v>
      </c>
    </row>
    <row r="1386" spans="1:4" ht="15" customHeight="1">
      <c r="A1386" s="9"/>
      <c r="B1386" s="38" t="s">
        <v>420</v>
      </c>
      <c r="C1386" s="30" t="s">
        <v>2609</v>
      </c>
      <c r="D1386" s="14" t="s">
        <v>422</v>
      </c>
    </row>
    <row r="1387" spans="1:4" ht="19.5" customHeight="1">
      <c r="A1387" s="9"/>
      <c r="B1387" s="38" t="s">
        <v>2683</v>
      </c>
      <c r="C1387" s="34" t="s">
        <v>2608</v>
      </c>
      <c r="D1387" s="14" t="s">
        <v>2109</v>
      </c>
    </row>
    <row r="1388" spans="1:4" ht="19.5" customHeight="1">
      <c r="A1388" s="9"/>
      <c r="B1388" s="38" t="s">
        <v>2685</v>
      </c>
      <c r="C1388" s="34" t="s">
        <v>2608</v>
      </c>
      <c r="D1388" s="14" t="s">
        <v>438</v>
      </c>
    </row>
    <row r="1389" spans="1:4" ht="19.5" customHeight="1">
      <c r="A1389" s="9"/>
      <c r="B1389" s="38" t="s">
        <v>2672</v>
      </c>
      <c r="C1389" s="34" t="s">
        <v>2608</v>
      </c>
      <c r="D1389" s="14" t="s">
        <v>2673</v>
      </c>
    </row>
    <row r="1390" spans="1:4" ht="19.5" customHeight="1">
      <c r="A1390" s="9"/>
      <c r="B1390" s="38" t="s">
        <v>2674</v>
      </c>
      <c r="C1390" s="36">
        <v>8</v>
      </c>
      <c r="D1390" s="14" t="s">
        <v>2377</v>
      </c>
    </row>
    <row r="1391" spans="1:4" ht="19.5" customHeight="1">
      <c r="A1391" s="9"/>
      <c r="B1391" s="38" t="s">
        <v>2681</v>
      </c>
      <c r="C1391" s="36">
        <v>3</v>
      </c>
      <c r="D1391" s="14" t="s">
        <v>2682</v>
      </c>
    </row>
    <row r="1392" spans="1:4" ht="19.5" customHeight="1">
      <c r="A1392" s="9"/>
      <c r="B1392" s="38" t="s">
        <v>2686</v>
      </c>
      <c r="C1392" s="36">
        <v>1</v>
      </c>
      <c r="D1392" s="14" t="s">
        <v>2587</v>
      </c>
    </row>
    <row r="1393" spans="1:4" ht="19.5" customHeight="1">
      <c r="A1393" s="9"/>
      <c r="B1393" s="38" t="s">
        <v>2687</v>
      </c>
      <c r="C1393" s="36">
        <v>2</v>
      </c>
      <c r="D1393" s="14" t="s">
        <v>1103</v>
      </c>
    </row>
    <row r="1394" spans="1:4" ht="19.5" customHeight="1">
      <c r="A1394" s="9"/>
      <c r="B1394" s="38" t="s">
        <v>2675</v>
      </c>
      <c r="C1394" s="36">
        <v>4</v>
      </c>
      <c r="D1394" s="14" t="s">
        <v>1105</v>
      </c>
    </row>
    <row r="1395" spans="1:4" ht="15.75" customHeight="1">
      <c r="A1395" s="9"/>
      <c r="B1395" s="38" t="s">
        <v>2688</v>
      </c>
      <c r="C1395" s="36">
        <v>2</v>
      </c>
      <c r="D1395" s="14" t="s">
        <v>1119</v>
      </c>
    </row>
    <row r="1396" spans="1:4" ht="15" customHeight="1">
      <c r="A1396" s="9"/>
      <c r="B1396" s="38" t="s">
        <v>2689</v>
      </c>
      <c r="C1396" s="36">
        <v>2</v>
      </c>
      <c r="D1396" s="14" t="s">
        <v>1117</v>
      </c>
    </row>
    <row r="1397" spans="1:4" ht="15" customHeight="1">
      <c r="A1397" s="9"/>
      <c r="B1397" s="39" t="s">
        <v>2676</v>
      </c>
      <c r="C1397" s="32">
        <v>3</v>
      </c>
      <c r="D1397" s="14" t="s">
        <v>530</v>
      </c>
    </row>
    <row r="1398" spans="1:4" ht="15" customHeight="1">
      <c r="A1398" s="9" t="s">
        <v>1400</v>
      </c>
      <c r="B1398" s="37" t="s">
        <v>2680</v>
      </c>
      <c r="C1398" s="34" t="s">
        <v>2608</v>
      </c>
      <c r="D1398" s="14" t="s">
        <v>2232</v>
      </c>
    </row>
    <row r="1399" spans="1:4" ht="15" customHeight="1">
      <c r="A1399" s="9"/>
      <c r="B1399" s="38" t="s">
        <v>420</v>
      </c>
      <c r="C1399" s="30" t="s">
        <v>2609</v>
      </c>
      <c r="D1399" s="14" t="s">
        <v>422</v>
      </c>
    </row>
    <row r="1400" spans="1:4" ht="15" customHeight="1">
      <c r="A1400" s="9"/>
      <c r="B1400" s="38" t="s">
        <v>420</v>
      </c>
      <c r="C1400" s="30" t="s">
        <v>2609</v>
      </c>
      <c r="D1400" s="14" t="s">
        <v>422</v>
      </c>
    </row>
    <row r="1401" spans="1:4" ht="15" customHeight="1">
      <c r="A1401" s="9"/>
      <c r="B1401" s="38" t="s">
        <v>420</v>
      </c>
      <c r="C1401" s="30" t="s">
        <v>2670</v>
      </c>
      <c r="D1401" s="14" t="s">
        <v>422</v>
      </c>
    </row>
    <row r="1402" spans="1:4" ht="15" customHeight="1">
      <c r="A1402" s="9"/>
      <c r="B1402" s="38" t="s">
        <v>420</v>
      </c>
      <c r="C1402" s="30" t="s">
        <v>2609</v>
      </c>
      <c r="D1402" s="14" t="s">
        <v>422</v>
      </c>
    </row>
    <row r="1403" spans="1:4" ht="15" customHeight="1">
      <c r="A1403" s="9"/>
      <c r="B1403" s="38" t="s">
        <v>2683</v>
      </c>
      <c r="C1403" s="34" t="s">
        <v>2608</v>
      </c>
      <c r="D1403" s="14" t="s">
        <v>2109</v>
      </c>
    </row>
    <row r="1404" spans="1:4" ht="15" customHeight="1">
      <c r="A1404" s="9"/>
      <c r="B1404" s="38" t="s">
        <v>2685</v>
      </c>
      <c r="C1404" s="34" t="s">
        <v>2608</v>
      </c>
      <c r="D1404" s="14" t="s">
        <v>438</v>
      </c>
    </row>
    <row r="1405" spans="1:4" ht="15" customHeight="1">
      <c r="A1405" s="9"/>
      <c r="B1405" s="38" t="s">
        <v>2672</v>
      </c>
      <c r="C1405" s="34" t="s">
        <v>2608</v>
      </c>
      <c r="D1405" s="14" t="s">
        <v>2673</v>
      </c>
    </row>
    <row r="1406" spans="1:4" ht="15" customHeight="1">
      <c r="A1406" s="9"/>
      <c r="B1406" s="38" t="s">
        <v>2674</v>
      </c>
      <c r="C1406" s="36">
        <v>8</v>
      </c>
      <c r="D1406" s="14" t="s">
        <v>2377</v>
      </c>
    </row>
    <row r="1407" spans="1:4" ht="15" customHeight="1">
      <c r="A1407" s="9"/>
      <c r="B1407" s="38" t="s">
        <v>2681</v>
      </c>
      <c r="C1407" s="36">
        <v>3</v>
      </c>
      <c r="D1407" s="14" t="s">
        <v>2682</v>
      </c>
    </row>
    <row r="1408" spans="1:4" ht="15" customHeight="1">
      <c r="A1408" s="9"/>
      <c r="B1408" s="38" t="s">
        <v>2686</v>
      </c>
      <c r="C1408" s="36">
        <v>1</v>
      </c>
      <c r="D1408" s="14" t="s">
        <v>2587</v>
      </c>
    </row>
    <row r="1409" spans="1:4" ht="15" customHeight="1">
      <c r="A1409" s="9"/>
      <c r="B1409" s="38" t="s">
        <v>2687</v>
      </c>
      <c r="C1409" s="36">
        <v>2</v>
      </c>
      <c r="D1409" s="14" t="s">
        <v>1103</v>
      </c>
    </row>
    <row r="1410" spans="1:4" ht="15" customHeight="1">
      <c r="A1410" s="9"/>
      <c r="B1410" s="38" t="s">
        <v>2675</v>
      </c>
      <c r="C1410" s="36">
        <v>4</v>
      </c>
      <c r="D1410" s="14" t="s">
        <v>1105</v>
      </c>
    </row>
    <row r="1411" spans="1:4" ht="15" customHeight="1">
      <c r="A1411" s="9"/>
      <c r="B1411" s="38" t="s">
        <v>2688</v>
      </c>
      <c r="C1411" s="36">
        <v>2</v>
      </c>
      <c r="D1411" s="14" t="s">
        <v>1119</v>
      </c>
    </row>
    <row r="1412" spans="1:4" ht="15" customHeight="1">
      <c r="A1412" s="9"/>
      <c r="B1412" s="38" t="s">
        <v>2689</v>
      </c>
      <c r="C1412" s="36">
        <v>2</v>
      </c>
      <c r="D1412" s="14" t="s">
        <v>1117</v>
      </c>
    </row>
    <row r="1413" spans="1:4" ht="15" customHeight="1">
      <c r="A1413" s="9"/>
      <c r="B1413" s="39" t="s">
        <v>2676</v>
      </c>
      <c r="C1413" s="32">
        <v>3</v>
      </c>
      <c r="D1413" s="14" t="s">
        <v>530</v>
      </c>
    </row>
    <row r="1414" spans="1:4" ht="15" customHeight="1">
      <c r="A1414" s="9" t="s">
        <v>1402</v>
      </c>
      <c r="B1414" s="37" t="s">
        <v>2678</v>
      </c>
      <c r="C1414" s="34" t="s">
        <v>2608</v>
      </c>
      <c r="D1414" s="14" t="s">
        <v>2240</v>
      </c>
    </row>
    <row r="1415" spans="1:4" ht="15" customHeight="1">
      <c r="A1415" s="9"/>
      <c r="B1415" s="38" t="s">
        <v>420</v>
      </c>
      <c r="C1415" s="30" t="s">
        <v>2609</v>
      </c>
      <c r="D1415" s="14" t="s">
        <v>422</v>
      </c>
    </row>
    <row r="1416" spans="1:4" ht="15" customHeight="1">
      <c r="A1416" s="9"/>
      <c r="B1416" s="38" t="s">
        <v>420</v>
      </c>
      <c r="C1416" s="30" t="s">
        <v>2609</v>
      </c>
      <c r="D1416" s="14" t="s">
        <v>422</v>
      </c>
    </row>
    <row r="1417" spans="1:4" ht="15" customHeight="1">
      <c r="A1417" s="9"/>
      <c r="B1417" s="38" t="s">
        <v>420</v>
      </c>
      <c r="C1417" s="30" t="s">
        <v>2670</v>
      </c>
      <c r="D1417" s="14" t="s">
        <v>422</v>
      </c>
    </row>
    <row r="1418" spans="1:4" ht="15" customHeight="1">
      <c r="A1418" s="9"/>
      <c r="B1418" s="38" t="s">
        <v>420</v>
      </c>
      <c r="C1418" s="30" t="s">
        <v>2609</v>
      </c>
      <c r="D1418" s="14" t="s">
        <v>422</v>
      </c>
    </row>
    <row r="1419" spans="1:4" ht="15" customHeight="1">
      <c r="A1419" s="9"/>
      <c r="B1419" s="38" t="s">
        <v>2683</v>
      </c>
      <c r="C1419" s="34" t="s">
        <v>2608</v>
      </c>
      <c r="D1419" s="14" t="s">
        <v>2109</v>
      </c>
    </row>
    <row r="1420" spans="1:4" ht="15" customHeight="1">
      <c r="A1420" s="9"/>
      <c r="B1420" s="38" t="s">
        <v>2685</v>
      </c>
      <c r="C1420" s="34" t="s">
        <v>2608</v>
      </c>
      <c r="D1420" s="14" t="s">
        <v>438</v>
      </c>
    </row>
    <row r="1421" spans="1:4" ht="15" customHeight="1">
      <c r="A1421" s="9"/>
      <c r="B1421" s="38" t="s">
        <v>2672</v>
      </c>
      <c r="C1421" s="34" t="s">
        <v>2608</v>
      </c>
      <c r="D1421" s="14" t="s">
        <v>2673</v>
      </c>
    </row>
    <row r="1422" spans="1:4" ht="15" customHeight="1">
      <c r="A1422" s="9"/>
      <c r="B1422" s="38" t="s">
        <v>2674</v>
      </c>
      <c r="C1422" s="36">
        <v>8</v>
      </c>
      <c r="D1422" s="14" t="s">
        <v>2377</v>
      </c>
    </row>
    <row r="1423" spans="1:4" ht="15" customHeight="1">
      <c r="A1423" s="9"/>
      <c r="B1423" s="38" t="s">
        <v>2681</v>
      </c>
      <c r="C1423" s="36">
        <v>3</v>
      </c>
      <c r="D1423" s="14" t="s">
        <v>2682</v>
      </c>
    </row>
    <row r="1424" spans="1:4" ht="15" customHeight="1">
      <c r="A1424" s="9"/>
      <c r="B1424" s="38" t="s">
        <v>2686</v>
      </c>
      <c r="C1424" s="36">
        <v>1</v>
      </c>
      <c r="D1424" s="14" t="s">
        <v>2587</v>
      </c>
    </row>
    <row r="1425" spans="1:4" ht="15" customHeight="1">
      <c r="A1425" s="9"/>
      <c r="B1425" s="38" t="s">
        <v>2687</v>
      </c>
      <c r="C1425" s="36">
        <v>2</v>
      </c>
      <c r="D1425" s="14" t="s">
        <v>1103</v>
      </c>
    </row>
    <row r="1426" spans="1:4" ht="15" customHeight="1">
      <c r="A1426" s="9"/>
      <c r="B1426" s="38" t="s">
        <v>2675</v>
      </c>
      <c r="C1426" s="36">
        <v>4</v>
      </c>
      <c r="D1426" s="14" t="s">
        <v>1105</v>
      </c>
    </row>
    <row r="1427" spans="1:4" ht="15.75" customHeight="1">
      <c r="A1427" s="9"/>
      <c r="B1427" s="38" t="s">
        <v>2688</v>
      </c>
      <c r="C1427" s="36">
        <v>2</v>
      </c>
      <c r="D1427" s="14" t="s">
        <v>1119</v>
      </c>
    </row>
    <row r="1428" spans="1:4" ht="15" customHeight="1">
      <c r="A1428" s="9"/>
      <c r="B1428" s="38" t="s">
        <v>2689</v>
      </c>
      <c r="C1428" s="36">
        <v>2</v>
      </c>
      <c r="D1428" s="14" t="s">
        <v>1117</v>
      </c>
    </row>
    <row r="1429" spans="1:4" ht="14.25" customHeight="1">
      <c r="A1429" s="9"/>
      <c r="B1429" s="39" t="s">
        <v>2676</v>
      </c>
      <c r="C1429" s="32">
        <v>3</v>
      </c>
      <c r="D1429" s="14" t="s">
        <v>530</v>
      </c>
    </row>
    <row r="1430" spans="1:4" ht="19.5" customHeight="1">
      <c r="A1430" s="9" t="s">
        <v>1404</v>
      </c>
      <c r="B1430" s="37" t="s">
        <v>2669</v>
      </c>
      <c r="C1430" s="34" t="s">
        <v>2608</v>
      </c>
      <c r="D1430" s="14" t="s">
        <v>2096</v>
      </c>
    </row>
    <row r="1431" spans="1:4" ht="19.5" customHeight="1">
      <c r="A1431" s="9"/>
      <c r="B1431" s="38" t="s">
        <v>420</v>
      </c>
      <c r="C1431" s="30" t="s">
        <v>2609</v>
      </c>
      <c r="D1431" s="14" t="s">
        <v>422</v>
      </c>
    </row>
    <row r="1432" spans="1:4" ht="19.5" customHeight="1">
      <c r="A1432" s="9"/>
      <c r="B1432" s="38" t="s">
        <v>420</v>
      </c>
      <c r="C1432" s="30" t="s">
        <v>2670</v>
      </c>
      <c r="D1432" s="14" t="s">
        <v>422</v>
      </c>
    </row>
    <row r="1433" spans="1:4" ht="19.5" customHeight="1">
      <c r="A1433" s="9"/>
      <c r="B1433" s="38" t="s">
        <v>420</v>
      </c>
      <c r="C1433" s="30" t="s">
        <v>2609</v>
      </c>
      <c r="D1433" s="14" t="s">
        <v>422</v>
      </c>
    </row>
    <row r="1434" spans="1:4" ht="19.5" customHeight="1">
      <c r="A1434" s="9"/>
      <c r="B1434" s="38" t="s">
        <v>2671</v>
      </c>
      <c r="C1434" s="34" t="s">
        <v>2608</v>
      </c>
      <c r="D1434" s="14" t="s">
        <v>2107</v>
      </c>
    </row>
    <row r="1435" spans="1:4" ht="19.5" customHeight="1">
      <c r="A1435" s="9"/>
      <c r="B1435" s="38" t="s">
        <v>2672</v>
      </c>
      <c r="C1435" s="34" t="s">
        <v>2608</v>
      </c>
      <c r="D1435" s="14" t="s">
        <v>2673</v>
      </c>
    </row>
    <row r="1436" spans="1:4" ht="19.5" customHeight="1">
      <c r="A1436" s="9"/>
      <c r="B1436" s="38" t="s">
        <v>2674</v>
      </c>
      <c r="C1436" s="36">
        <v>2</v>
      </c>
      <c r="D1436" s="14" t="s">
        <v>2377</v>
      </c>
    </row>
    <row r="1437" spans="1:4" ht="19.5" customHeight="1">
      <c r="A1437" s="9"/>
      <c r="B1437" s="38" t="s">
        <v>2691</v>
      </c>
      <c r="C1437" s="36">
        <v>1</v>
      </c>
      <c r="D1437" s="14" t="s">
        <v>2284</v>
      </c>
    </row>
    <row r="1438" spans="1:4" ht="19.5" customHeight="1">
      <c r="A1438" s="9"/>
      <c r="B1438" s="38" t="s">
        <v>2692</v>
      </c>
      <c r="C1438" s="36">
        <v>1</v>
      </c>
      <c r="D1438" s="14" t="s">
        <v>1125</v>
      </c>
    </row>
    <row r="1439" spans="1:4" ht="19.5" customHeight="1">
      <c r="A1439" s="9"/>
      <c r="B1439" s="38" t="s">
        <v>2675</v>
      </c>
      <c r="C1439" s="36">
        <v>2</v>
      </c>
      <c r="D1439" s="14" t="s">
        <v>1105</v>
      </c>
    </row>
    <row r="1440" spans="1:4" ht="19.5" customHeight="1">
      <c r="A1440" s="9"/>
      <c r="B1440" s="39" t="s">
        <v>2693</v>
      </c>
      <c r="C1440" s="32">
        <v>1</v>
      </c>
      <c r="D1440" s="14" t="s">
        <v>526</v>
      </c>
    </row>
    <row r="1441" spans="1:4" ht="19.5" customHeight="1">
      <c r="A1441" s="9" t="s">
        <v>1406</v>
      </c>
      <c r="B1441" s="37" t="s">
        <v>2680</v>
      </c>
      <c r="C1441" s="34" t="s">
        <v>2608</v>
      </c>
      <c r="D1441" s="14" t="s">
        <v>2232</v>
      </c>
    </row>
    <row r="1442" spans="1:4" ht="15" customHeight="1">
      <c r="A1442" s="9"/>
      <c r="B1442" s="38" t="s">
        <v>420</v>
      </c>
      <c r="C1442" s="30" t="s">
        <v>2609</v>
      </c>
      <c r="D1442" s="14" t="s">
        <v>422</v>
      </c>
    </row>
    <row r="1443" spans="1:4" ht="15" customHeight="1">
      <c r="A1443" s="9"/>
      <c r="B1443" s="38" t="s">
        <v>420</v>
      </c>
      <c r="C1443" s="30" t="s">
        <v>2670</v>
      </c>
      <c r="D1443" s="14" t="s">
        <v>422</v>
      </c>
    </row>
    <row r="1444" spans="1:4" ht="15" customHeight="1">
      <c r="A1444" s="9"/>
      <c r="B1444" s="38" t="s">
        <v>420</v>
      </c>
      <c r="C1444" s="30" t="s">
        <v>2609</v>
      </c>
      <c r="D1444" s="14" t="s">
        <v>422</v>
      </c>
    </row>
    <row r="1445" spans="1:4" ht="15" customHeight="1">
      <c r="A1445" s="9"/>
      <c r="B1445" s="38" t="s">
        <v>2671</v>
      </c>
      <c r="C1445" s="34" t="s">
        <v>2608</v>
      </c>
      <c r="D1445" s="14" t="s">
        <v>2107</v>
      </c>
    </row>
    <row r="1446" spans="1:4" ht="15" customHeight="1">
      <c r="A1446" s="9"/>
      <c r="B1446" s="38" t="s">
        <v>2672</v>
      </c>
      <c r="C1446" s="34" t="s">
        <v>2608</v>
      </c>
      <c r="D1446" s="14" t="s">
        <v>2673</v>
      </c>
    </row>
    <row r="1447" spans="1:4" ht="15" customHeight="1">
      <c r="A1447" s="9"/>
      <c r="B1447" s="38" t="s">
        <v>2674</v>
      </c>
      <c r="C1447" s="36">
        <v>2</v>
      </c>
      <c r="D1447" s="14" t="s">
        <v>2377</v>
      </c>
    </row>
    <row r="1448" spans="1:4" ht="15" customHeight="1">
      <c r="A1448" s="9"/>
      <c r="B1448" s="38" t="s">
        <v>2691</v>
      </c>
      <c r="C1448" s="36">
        <v>1</v>
      </c>
      <c r="D1448" s="14" t="s">
        <v>2284</v>
      </c>
    </row>
    <row r="1449" spans="1:4" ht="15" customHeight="1">
      <c r="A1449" s="9"/>
      <c r="B1449" s="38" t="s">
        <v>2692</v>
      </c>
      <c r="C1449" s="36">
        <v>1</v>
      </c>
      <c r="D1449" s="14" t="s">
        <v>1125</v>
      </c>
    </row>
    <row r="1450" spans="1:4" ht="15" customHeight="1">
      <c r="A1450" s="9"/>
      <c r="B1450" s="38" t="s">
        <v>2675</v>
      </c>
      <c r="C1450" s="36">
        <v>2</v>
      </c>
      <c r="D1450" s="14" t="s">
        <v>1105</v>
      </c>
    </row>
    <row r="1451" spans="1:4" ht="15" customHeight="1">
      <c r="A1451" s="9"/>
      <c r="B1451" s="39" t="s">
        <v>2693</v>
      </c>
      <c r="C1451" s="32">
        <v>1</v>
      </c>
      <c r="D1451" s="14" t="s">
        <v>526</v>
      </c>
    </row>
    <row r="1452" spans="1:4" ht="15" customHeight="1">
      <c r="A1452" s="9" t="s">
        <v>1408</v>
      </c>
      <c r="B1452" s="37" t="s">
        <v>2678</v>
      </c>
      <c r="C1452" s="34" t="s">
        <v>2608</v>
      </c>
      <c r="D1452" s="14" t="s">
        <v>2240</v>
      </c>
    </row>
    <row r="1453" spans="1:4" ht="15" customHeight="1">
      <c r="A1453" s="9"/>
      <c r="B1453" s="38" t="s">
        <v>420</v>
      </c>
      <c r="C1453" s="30" t="s">
        <v>2609</v>
      </c>
      <c r="D1453" s="14" t="s">
        <v>422</v>
      </c>
    </row>
    <row r="1454" spans="1:4" ht="15" customHeight="1">
      <c r="A1454" s="9"/>
      <c r="B1454" s="38" t="s">
        <v>420</v>
      </c>
      <c r="C1454" s="30" t="s">
        <v>2670</v>
      </c>
      <c r="D1454" s="14" t="s">
        <v>422</v>
      </c>
    </row>
    <row r="1455" spans="1:4" ht="15" customHeight="1">
      <c r="A1455" s="9"/>
      <c r="B1455" s="38" t="s">
        <v>420</v>
      </c>
      <c r="C1455" s="30" t="s">
        <v>2609</v>
      </c>
      <c r="D1455" s="14" t="s">
        <v>422</v>
      </c>
    </row>
    <row r="1456" spans="1:4" ht="15" customHeight="1">
      <c r="A1456" s="9"/>
      <c r="B1456" s="38" t="s">
        <v>2671</v>
      </c>
      <c r="C1456" s="34" t="s">
        <v>2608</v>
      </c>
      <c r="D1456" s="14" t="s">
        <v>2107</v>
      </c>
    </row>
    <row r="1457" spans="1:4" ht="15" customHeight="1">
      <c r="A1457" s="9"/>
      <c r="B1457" s="38" t="s">
        <v>2672</v>
      </c>
      <c r="C1457" s="34" t="s">
        <v>2608</v>
      </c>
      <c r="D1457" s="14" t="s">
        <v>2673</v>
      </c>
    </row>
    <row r="1458" spans="1:4" ht="15" customHeight="1">
      <c r="A1458" s="9"/>
      <c r="B1458" s="38" t="s">
        <v>2674</v>
      </c>
      <c r="C1458" s="36">
        <v>2</v>
      </c>
      <c r="D1458" s="14" t="s">
        <v>2377</v>
      </c>
    </row>
    <row r="1459" spans="1:4" ht="15" customHeight="1">
      <c r="A1459" s="9"/>
      <c r="B1459" s="38" t="s">
        <v>2691</v>
      </c>
      <c r="C1459" s="36">
        <v>1</v>
      </c>
      <c r="D1459" s="14" t="s">
        <v>2284</v>
      </c>
    </row>
    <row r="1460" spans="1:4" ht="15" customHeight="1">
      <c r="A1460" s="9"/>
      <c r="B1460" s="38" t="s">
        <v>2692</v>
      </c>
      <c r="C1460" s="36">
        <v>1</v>
      </c>
      <c r="D1460" s="14" t="s">
        <v>1125</v>
      </c>
    </row>
    <row r="1461" spans="1:4" ht="15" customHeight="1">
      <c r="A1461" s="9"/>
      <c r="B1461" s="38" t="s">
        <v>2675</v>
      </c>
      <c r="C1461" s="36">
        <v>2</v>
      </c>
      <c r="D1461" s="14" t="s">
        <v>1105</v>
      </c>
    </row>
    <row r="1462" spans="1:4" ht="15" customHeight="1">
      <c r="A1462" s="9"/>
      <c r="B1462" s="39" t="s">
        <v>2693</v>
      </c>
      <c r="C1462" s="32">
        <v>1</v>
      </c>
      <c r="D1462" s="14" t="s">
        <v>526</v>
      </c>
    </row>
    <row r="1463" spans="1:4" ht="15" customHeight="1">
      <c r="A1463" s="9" t="s">
        <v>1410</v>
      </c>
      <c r="B1463" s="37" t="s">
        <v>2669</v>
      </c>
      <c r="C1463" s="34" t="s">
        <v>2608</v>
      </c>
      <c r="D1463" s="14" t="s">
        <v>2096</v>
      </c>
    </row>
    <row r="1464" spans="1:4" ht="15" customHeight="1">
      <c r="A1464" s="9"/>
      <c r="B1464" s="38" t="s">
        <v>420</v>
      </c>
      <c r="C1464" s="30" t="s">
        <v>2609</v>
      </c>
      <c r="D1464" s="14" t="s">
        <v>422</v>
      </c>
    </row>
    <row r="1465" spans="1:4" ht="15" customHeight="1">
      <c r="A1465" s="9"/>
      <c r="B1465" s="38" t="s">
        <v>420</v>
      </c>
      <c r="C1465" s="30" t="s">
        <v>2670</v>
      </c>
      <c r="D1465" s="14" t="s">
        <v>422</v>
      </c>
    </row>
    <row r="1466" spans="1:4" ht="15" customHeight="1">
      <c r="A1466" s="9"/>
      <c r="B1466" s="38" t="s">
        <v>420</v>
      </c>
      <c r="C1466" s="30" t="s">
        <v>2609</v>
      </c>
      <c r="D1466" s="14" t="s">
        <v>422</v>
      </c>
    </row>
    <row r="1467" spans="1:4" ht="15" customHeight="1">
      <c r="A1467" s="9"/>
      <c r="B1467" s="38" t="s">
        <v>420</v>
      </c>
      <c r="C1467" s="30" t="s">
        <v>2609</v>
      </c>
      <c r="D1467" s="14" t="s">
        <v>422</v>
      </c>
    </row>
    <row r="1468" spans="1:4" ht="15" customHeight="1">
      <c r="A1468" s="9"/>
      <c r="B1468" s="38" t="s">
        <v>2671</v>
      </c>
      <c r="C1468" s="34" t="s">
        <v>2608</v>
      </c>
      <c r="D1468" s="14" t="s">
        <v>2107</v>
      </c>
    </row>
    <row r="1469" spans="1:4" ht="15" customHeight="1">
      <c r="A1469" s="9"/>
      <c r="B1469" s="38" t="s">
        <v>2694</v>
      </c>
      <c r="C1469" s="34" t="s">
        <v>2608</v>
      </c>
      <c r="D1469" s="14" t="s">
        <v>1846</v>
      </c>
    </row>
    <row r="1470" spans="1:4" ht="15" customHeight="1">
      <c r="A1470" s="9"/>
      <c r="B1470" s="38" t="s">
        <v>2672</v>
      </c>
      <c r="C1470" s="34" t="s">
        <v>2608</v>
      </c>
      <c r="D1470" s="14" t="s">
        <v>2673</v>
      </c>
    </row>
    <row r="1471" spans="1:4" ht="15" customHeight="1">
      <c r="A1471" s="9"/>
      <c r="B1471" s="38" t="s">
        <v>2674</v>
      </c>
      <c r="C1471" s="36">
        <v>4</v>
      </c>
      <c r="D1471" s="14" t="s">
        <v>2377</v>
      </c>
    </row>
    <row r="1472" spans="1:4" ht="15" customHeight="1">
      <c r="A1472" s="9"/>
      <c r="B1472" s="38" t="s">
        <v>2691</v>
      </c>
      <c r="C1472" s="36">
        <v>2</v>
      </c>
      <c r="D1472" s="14" t="s">
        <v>2284</v>
      </c>
    </row>
    <row r="1473" spans="1:4" ht="14.25" customHeight="1">
      <c r="A1473" s="9"/>
      <c r="B1473" s="38" t="s">
        <v>2695</v>
      </c>
      <c r="C1473" s="36">
        <v>1</v>
      </c>
      <c r="D1473" s="14" t="s">
        <v>1111</v>
      </c>
    </row>
    <row r="1474" spans="1:4" ht="15" customHeight="1">
      <c r="A1474" s="9"/>
      <c r="B1474" s="38" t="s">
        <v>2675</v>
      </c>
      <c r="C1474" s="36">
        <v>4</v>
      </c>
      <c r="D1474" s="14" t="s">
        <v>1105</v>
      </c>
    </row>
    <row r="1475" spans="1:4" ht="14.25" customHeight="1">
      <c r="A1475" s="9"/>
      <c r="B1475" s="38" t="s">
        <v>2692</v>
      </c>
      <c r="C1475" s="36">
        <v>2</v>
      </c>
      <c r="D1475" s="14" t="s">
        <v>1125</v>
      </c>
    </row>
    <row r="1476" spans="1:4" ht="19.5" customHeight="1">
      <c r="A1476" s="9"/>
      <c r="B1476" s="39" t="s">
        <v>2693</v>
      </c>
      <c r="C1476" s="32">
        <v>2</v>
      </c>
      <c r="D1476" s="14" t="s">
        <v>526</v>
      </c>
    </row>
    <row r="1477" spans="1:4" ht="19.5" customHeight="1">
      <c r="A1477" s="9" t="s">
        <v>1412</v>
      </c>
      <c r="B1477" s="37" t="s">
        <v>2680</v>
      </c>
      <c r="C1477" s="34" t="s">
        <v>2608</v>
      </c>
      <c r="D1477" s="14" t="s">
        <v>2232</v>
      </c>
    </row>
    <row r="1478" spans="1:4" ht="19.5" customHeight="1">
      <c r="A1478" s="9"/>
      <c r="B1478" s="38" t="s">
        <v>420</v>
      </c>
      <c r="C1478" s="30" t="s">
        <v>2609</v>
      </c>
      <c r="D1478" s="14" t="s">
        <v>422</v>
      </c>
    </row>
    <row r="1479" spans="1:4" ht="19.5" customHeight="1">
      <c r="A1479" s="9"/>
      <c r="B1479" s="38" t="s">
        <v>420</v>
      </c>
      <c r="C1479" s="30" t="s">
        <v>2670</v>
      </c>
      <c r="D1479" s="14" t="s">
        <v>422</v>
      </c>
    </row>
    <row r="1480" spans="1:4" ht="19.5" customHeight="1">
      <c r="A1480" s="9"/>
      <c r="B1480" s="38" t="s">
        <v>420</v>
      </c>
      <c r="C1480" s="30" t="s">
        <v>2609</v>
      </c>
      <c r="D1480" s="14" t="s">
        <v>422</v>
      </c>
    </row>
    <row r="1481" spans="1:4" ht="19.5" customHeight="1">
      <c r="A1481" s="9"/>
      <c r="B1481" s="38" t="s">
        <v>420</v>
      </c>
      <c r="C1481" s="30" t="s">
        <v>2609</v>
      </c>
      <c r="D1481" s="14" t="s">
        <v>422</v>
      </c>
    </row>
    <row r="1482" spans="1:4" ht="19.5" customHeight="1">
      <c r="A1482" s="9"/>
      <c r="B1482" s="38" t="s">
        <v>2671</v>
      </c>
      <c r="C1482" s="34" t="s">
        <v>2608</v>
      </c>
      <c r="D1482" s="14" t="s">
        <v>2107</v>
      </c>
    </row>
    <row r="1483" spans="1:4" ht="19.5" customHeight="1">
      <c r="A1483" s="9"/>
      <c r="B1483" s="38" t="s">
        <v>2694</v>
      </c>
      <c r="C1483" s="34" t="s">
        <v>2608</v>
      </c>
      <c r="D1483" s="14" t="s">
        <v>1846</v>
      </c>
    </row>
    <row r="1484" spans="1:4" ht="19.5" customHeight="1">
      <c r="A1484" s="9"/>
      <c r="B1484" s="38" t="s">
        <v>2672</v>
      </c>
      <c r="C1484" s="34" t="s">
        <v>2608</v>
      </c>
      <c r="D1484" s="14" t="s">
        <v>2673</v>
      </c>
    </row>
    <row r="1485" spans="1:4" ht="19.5" customHeight="1">
      <c r="A1485" s="9"/>
      <c r="B1485" s="38" t="s">
        <v>2674</v>
      </c>
      <c r="C1485" s="36">
        <v>4</v>
      </c>
      <c r="D1485" s="14" t="s">
        <v>2377</v>
      </c>
    </row>
    <row r="1486" spans="1:4" ht="19.5" customHeight="1">
      <c r="A1486" s="9"/>
      <c r="B1486" s="38" t="s">
        <v>2691</v>
      </c>
      <c r="C1486" s="36">
        <v>2</v>
      </c>
      <c r="D1486" s="14" t="s">
        <v>2284</v>
      </c>
    </row>
    <row r="1487" spans="1:4" ht="19.5" customHeight="1">
      <c r="A1487" s="9"/>
      <c r="B1487" s="38" t="s">
        <v>2695</v>
      </c>
      <c r="C1487" s="36">
        <v>1</v>
      </c>
      <c r="D1487" s="14" t="s">
        <v>1111</v>
      </c>
    </row>
    <row r="1488" spans="1:4" ht="19.5" customHeight="1">
      <c r="A1488" s="9"/>
      <c r="B1488" s="38" t="s">
        <v>2675</v>
      </c>
      <c r="C1488" s="36">
        <v>4</v>
      </c>
      <c r="D1488" s="14" t="s">
        <v>1105</v>
      </c>
    </row>
    <row r="1489" spans="1:4" ht="19.5" customHeight="1">
      <c r="A1489" s="9"/>
      <c r="B1489" s="38" t="s">
        <v>2692</v>
      </c>
      <c r="C1489" s="36">
        <v>2</v>
      </c>
      <c r="D1489" s="14" t="s">
        <v>1125</v>
      </c>
    </row>
    <row r="1490" spans="1:4" ht="19.5" customHeight="1">
      <c r="A1490" s="9"/>
      <c r="B1490" s="39" t="s">
        <v>2693</v>
      </c>
      <c r="C1490" s="32">
        <v>2</v>
      </c>
      <c r="D1490" s="14" t="s">
        <v>526</v>
      </c>
    </row>
    <row r="1491" spans="1:4" ht="19.5" customHeight="1">
      <c r="A1491" s="9" t="s">
        <v>1414</v>
      </c>
      <c r="B1491" s="37" t="s">
        <v>2696</v>
      </c>
      <c r="C1491" s="34" t="s">
        <v>2608</v>
      </c>
      <c r="D1491" s="14" t="s">
        <v>2240</v>
      </c>
    </row>
    <row r="1492" spans="1:4" ht="19.5" customHeight="1">
      <c r="A1492" s="9"/>
      <c r="B1492" s="38" t="s">
        <v>420</v>
      </c>
      <c r="C1492" s="30" t="s">
        <v>2609</v>
      </c>
      <c r="D1492" s="14" t="s">
        <v>422</v>
      </c>
    </row>
    <row r="1493" spans="1:4" ht="19.5" customHeight="1">
      <c r="A1493" s="9"/>
      <c r="B1493" s="38" t="s">
        <v>420</v>
      </c>
      <c r="C1493" s="30" t="s">
        <v>2670</v>
      </c>
      <c r="D1493" s="14" t="s">
        <v>422</v>
      </c>
    </row>
    <row r="1494" spans="1:4" ht="19.5" customHeight="1">
      <c r="A1494" s="9"/>
      <c r="B1494" s="38" t="s">
        <v>420</v>
      </c>
      <c r="C1494" s="30" t="s">
        <v>2609</v>
      </c>
      <c r="D1494" s="14" t="s">
        <v>422</v>
      </c>
    </row>
    <row r="1495" spans="1:4" ht="19.5" customHeight="1">
      <c r="A1495" s="9"/>
      <c r="B1495" s="38" t="s">
        <v>420</v>
      </c>
      <c r="C1495" s="30" t="s">
        <v>2609</v>
      </c>
      <c r="D1495" s="14" t="s">
        <v>422</v>
      </c>
    </row>
    <row r="1496" spans="1:4" ht="19.5" customHeight="1">
      <c r="A1496" s="9"/>
      <c r="B1496" s="38" t="s">
        <v>2671</v>
      </c>
      <c r="C1496" s="34" t="s">
        <v>2608</v>
      </c>
      <c r="D1496" s="14" t="s">
        <v>2107</v>
      </c>
    </row>
    <row r="1497" spans="1:4" ht="19.5" customHeight="1">
      <c r="A1497" s="9"/>
      <c r="B1497" s="38" t="s">
        <v>2694</v>
      </c>
      <c r="C1497" s="34" t="s">
        <v>2608</v>
      </c>
      <c r="D1497" s="14" t="s">
        <v>1846</v>
      </c>
    </row>
    <row r="1498" spans="1:4" ht="19.5" customHeight="1">
      <c r="A1498" s="9"/>
      <c r="B1498" s="38" t="s">
        <v>2672</v>
      </c>
      <c r="C1498" s="34" t="s">
        <v>2608</v>
      </c>
      <c r="D1498" s="14" t="s">
        <v>2673</v>
      </c>
    </row>
    <row r="1499" spans="1:4" ht="19.5" customHeight="1">
      <c r="A1499" s="9"/>
      <c r="B1499" s="38" t="s">
        <v>2674</v>
      </c>
      <c r="C1499" s="36">
        <v>4</v>
      </c>
      <c r="D1499" s="14" t="s">
        <v>2377</v>
      </c>
    </row>
    <row r="1500" spans="1:4" ht="19.5" customHeight="1">
      <c r="A1500" s="9"/>
      <c r="B1500" s="38" t="s">
        <v>2691</v>
      </c>
      <c r="C1500" s="36">
        <v>1</v>
      </c>
      <c r="D1500" s="14" t="s">
        <v>2284</v>
      </c>
    </row>
    <row r="1501" spans="1:4" ht="19.5" customHeight="1">
      <c r="A1501" s="9"/>
      <c r="B1501" s="38" t="s">
        <v>2695</v>
      </c>
      <c r="C1501" s="36">
        <v>1</v>
      </c>
      <c r="D1501" s="14" t="s">
        <v>1111</v>
      </c>
    </row>
    <row r="1502" spans="1:4" ht="19.5" customHeight="1">
      <c r="A1502" s="9"/>
      <c r="B1502" s="38" t="s">
        <v>2675</v>
      </c>
      <c r="C1502" s="36">
        <v>2</v>
      </c>
      <c r="D1502" s="14" t="s">
        <v>1105</v>
      </c>
    </row>
    <row r="1503" spans="1:4" ht="19.5" customHeight="1">
      <c r="A1503" s="9"/>
      <c r="B1503" s="38" t="s">
        <v>2692</v>
      </c>
      <c r="C1503" s="36">
        <v>2</v>
      </c>
      <c r="D1503" s="14" t="s">
        <v>1125</v>
      </c>
    </row>
    <row r="1504" spans="1:4" ht="19.5" customHeight="1">
      <c r="A1504" s="9"/>
      <c r="B1504" s="39" t="s">
        <v>2693</v>
      </c>
      <c r="C1504" s="32">
        <v>2</v>
      </c>
      <c r="D1504" s="14" t="s">
        <v>526</v>
      </c>
    </row>
    <row r="1505" spans="1:4" ht="19.5" customHeight="1">
      <c r="A1505" s="9" t="s">
        <v>1416</v>
      </c>
      <c r="B1505" s="37" t="s">
        <v>2669</v>
      </c>
      <c r="C1505" s="34" t="s">
        <v>2608</v>
      </c>
      <c r="D1505" s="14" t="s">
        <v>2096</v>
      </c>
    </row>
    <row r="1506" spans="1:4" ht="15" customHeight="1">
      <c r="A1506" s="9"/>
      <c r="B1506" s="38" t="s">
        <v>420</v>
      </c>
      <c r="C1506" s="30" t="s">
        <v>2609</v>
      </c>
      <c r="D1506" s="14" t="s">
        <v>422</v>
      </c>
    </row>
    <row r="1507" spans="1:4" ht="15" customHeight="1">
      <c r="A1507" s="9"/>
      <c r="B1507" s="38" t="s">
        <v>420</v>
      </c>
      <c r="C1507" s="30" t="s">
        <v>2670</v>
      </c>
      <c r="D1507" s="14" t="s">
        <v>422</v>
      </c>
    </row>
    <row r="1508" spans="1:4" ht="15" customHeight="1">
      <c r="A1508" s="9"/>
      <c r="B1508" s="38" t="s">
        <v>420</v>
      </c>
      <c r="C1508" s="30" t="s">
        <v>2609</v>
      </c>
      <c r="D1508" s="14" t="s">
        <v>422</v>
      </c>
    </row>
    <row r="1509" spans="1:4" ht="15" customHeight="1">
      <c r="A1509" s="9"/>
      <c r="B1509" s="38" t="s">
        <v>420</v>
      </c>
      <c r="C1509" s="30" t="s">
        <v>2609</v>
      </c>
      <c r="D1509" s="14" t="s">
        <v>422</v>
      </c>
    </row>
    <row r="1510" spans="1:4" ht="15" customHeight="1">
      <c r="A1510" s="9"/>
      <c r="B1510" s="38" t="s">
        <v>2671</v>
      </c>
      <c r="C1510" s="34" t="s">
        <v>2608</v>
      </c>
      <c r="D1510" s="14" t="s">
        <v>2107</v>
      </c>
    </row>
    <row r="1511" spans="1:4" ht="15" customHeight="1">
      <c r="A1511" s="9"/>
      <c r="B1511" s="38" t="s">
        <v>2694</v>
      </c>
      <c r="C1511" s="34" t="s">
        <v>2608</v>
      </c>
      <c r="D1511" s="14" t="s">
        <v>1846</v>
      </c>
    </row>
    <row r="1512" spans="1:4" ht="15" customHeight="1">
      <c r="A1512" s="9"/>
      <c r="B1512" s="38" t="s">
        <v>2672</v>
      </c>
      <c r="C1512" s="34" t="s">
        <v>2608</v>
      </c>
      <c r="D1512" s="14" t="s">
        <v>2673</v>
      </c>
    </row>
    <row r="1513" spans="1:4" ht="15" customHeight="1">
      <c r="A1513" s="9"/>
      <c r="B1513" s="38" t="s">
        <v>2674</v>
      </c>
      <c r="C1513" s="36">
        <v>2</v>
      </c>
      <c r="D1513" s="14" t="s">
        <v>2377</v>
      </c>
    </row>
    <row r="1514" spans="1:4" ht="15" customHeight="1">
      <c r="A1514" s="9"/>
      <c r="B1514" s="38" t="s">
        <v>2691</v>
      </c>
      <c r="C1514" s="36">
        <v>1</v>
      </c>
      <c r="D1514" s="14" t="s">
        <v>2284</v>
      </c>
    </row>
    <row r="1515" spans="1:4" ht="15" customHeight="1">
      <c r="A1515" s="9"/>
      <c r="B1515" s="38" t="s">
        <v>2675</v>
      </c>
      <c r="C1515" s="36">
        <v>2</v>
      </c>
      <c r="D1515" s="14" t="s">
        <v>1105</v>
      </c>
    </row>
    <row r="1516" spans="1:4" ht="15" customHeight="1">
      <c r="A1516" s="9"/>
      <c r="B1516" s="38" t="s">
        <v>2695</v>
      </c>
      <c r="C1516" s="36">
        <v>1</v>
      </c>
      <c r="D1516" s="14" t="s">
        <v>1111</v>
      </c>
    </row>
    <row r="1517" spans="1:4" ht="14.25" customHeight="1">
      <c r="A1517" s="9"/>
      <c r="B1517" s="38" t="s">
        <v>2692</v>
      </c>
      <c r="C1517" s="36">
        <v>1</v>
      </c>
      <c r="D1517" s="14" t="s">
        <v>1125</v>
      </c>
    </row>
    <row r="1518" spans="1:4" ht="19.5" customHeight="1">
      <c r="A1518" s="9"/>
      <c r="B1518" s="39" t="s">
        <v>2693</v>
      </c>
      <c r="C1518" s="32">
        <v>1</v>
      </c>
      <c r="D1518" s="14" t="s">
        <v>526</v>
      </c>
    </row>
    <row r="1519" spans="1:4" ht="19.5" customHeight="1">
      <c r="A1519" s="35"/>
      <c r="B1519" s="38"/>
      <c r="C1519" s="36"/>
      <c r="D1519" s="14"/>
    </row>
    <row r="1520" spans="1:4" ht="19.5" customHeight="1">
      <c r="A1520" s="9" t="s">
        <v>1418</v>
      </c>
      <c r="B1520" s="37" t="s">
        <v>2680</v>
      </c>
      <c r="C1520" s="34" t="s">
        <v>2608</v>
      </c>
      <c r="D1520" s="14" t="s">
        <v>2232</v>
      </c>
    </row>
    <row r="1521" spans="1:4" ht="19.5" customHeight="1">
      <c r="A1521" s="9"/>
      <c r="B1521" s="38" t="s">
        <v>420</v>
      </c>
      <c r="C1521" s="30" t="s">
        <v>2609</v>
      </c>
      <c r="D1521" s="14" t="s">
        <v>422</v>
      </c>
    </row>
    <row r="1522" spans="1:4" ht="19.5" customHeight="1">
      <c r="A1522" s="9"/>
      <c r="B1522" s="38" t="s">
        <v>420</v>
      </c>
      <c r="C1522" s="30" t="s">
        <v>2609</v>
      </c>
      <c r="D1522" s="14" t="s">
        <v>422</v>
      </c>
    </row>
    <row r="1523" spans="1:4" ht="19.5" customHeight="1">
      <c r="A1523" s="9"/>
      <c r="B1523" s="38" t="s">
        <v>420</v>
      </c>
      <c r="C1523" s="30" t="s">
        <v>2670</v>
      </c>
      <c r="D1523" s="14" t="s">
        <v>422</v>
      </c>
    </row>
    <row r="1524" spans="1:4" ht="19.5" customHeight="1">
      <c r="A1524" s="9"/>
      <c r="B1524" s="38" t="s">
        <v>420</v>
      </c>
      <c r="C1524" s="30" t="s">
        <v>2609</v>
      </c>
      <c r="D1524" s="14" t="s">
        <v>422</v>
      </c>
    </row>
    <row r="1525" spans="1:4" ht="19.5" customHeight="1">
      <c r="A1525" s="9"/>
      <c r="B1525" s="38" t="s">
        <v>2671</v>
      </c>
      <c r="C1525" s="34" t="s">
        <v>2608</v>
      </c>
      <c r="D1525" s="14" t="s">
        <v>2107</v>
      </c>
    </row>
    <row r="1526" spans="1:4" ht="19.5" customHeight="1">
      <c r="A1526" s="9"/>
      <c r="B1526" s="38" t="s">
        <v>2694</v>
      </c>
      <c r="C1526" s="34" t="s">
        <v>2608</v>
      </c>
      <c r="D1526" s="14" t="s">
        <v>1846</v>
      </c>
    </row>
    <row r="1527" spans="1:4" ht="19.5" customHeight="1">
      <c r="A1527" s="9"/>
      <c r="B1527" s="38" t="s">
        <v>2672</v>
      </c>
      <c r="C1527" s="34" t="s">
        <v>2608</v>
      </c>
      <c r="D1527" s="14" t="s">
        <v>2673</v>
      </c>
    </row>
    <row r="1528" spans="1:4" ht="19.5" customHeight="1">
      <c r="A1528" s="9"/>
      <c r="B1528" s="38" t="s">
        <v>2674</v>
      </c>
      <c r="C1528" s="36">
        <v>2</v>
      </c>
      <c r="D1528" s="14" t="s">
        <v>2377</v>
      </c>
    </row>
    <row r="1529" spans="1:4" ht="19.5" customHeight="1">
      <c r="A1529" s="9"/>
      <c r="B1529" s="38" t="s">
        <v>2691</v>
      </c>
      <c r="C1529" s="36">
        <v>1</v>
      </c>
      <c r="D1529" s="14" t="s">
        <v>2284</v>
      </c>
    </row>
    <row r="1530" spans="1:4" ht="19.5" customHeight="1">
      <c r="A1530" s="9"/>
      <c r="B1530" s="38" t="s">
        <v>2695</v>
      </c>
      <c r="C1530" s="36">
        <v>1</v>
      </c>
      <c r="D1530" s="14" t="s">
        <v>1111</v>
      </c>
    </row>
    <row r="1531" spans="1:4" ht="19.5" customHeight="1">
      <c r="A1531" s="9"/>
      <c r="B1531" s="38" t="s">
        <v>2675</v>
      </c>
      <c r="C1531" s="36">
        <v>2</v>
      </c>
      <c r="D1531" s="14" t="s">
        <v>1105</v>
      </c>
    </row>
    <row r="1532" spans="1:4" ht="19.5" customHeight="1">
      <c r="A1532" s="9"/>
      <c r="B1532" s="38" t="s">
        <v>2692</v>
      </c>
      <c r="C1532" s="36">
        <v>1</v>
      </c>
      <c r="D1532" s="14" t="s">
        <v>1125</v>
      </c>
    </row>
    <row r="1533" spans="1:4" ht="19.5" customHeight="1">
      <c r="A1533" s="9"/>
      <c r="B1533" s="39" t="s">
        <v>2693</v>
      </c>
      <c r="C1533" s="32">
        <v>1</v>
      </c>
      <c r="D1533" s="14" t="s">
        <v>526</v>
      </c>
    </row>
    <row r="1534" spans="1:4" ht="19.5" customHeight="1">
      <c r="A1534" s="9" t="s">
        <v>1420</v>
      </c>
      <c r="B1534" s="37" t="s">
        <v>2678</v>
      </c>
      <c r="C1534" s="34" t="s">
        <v>2608</v>
      </c>
      <c r="D1534" s="14" t="s">
        <v>2240</v>
      </c>
    </row>
    <row r="1535" spans="1:4" ht="19.5" customHeight="1">
      <c r="A1535" s="9"/>
      <c r="B1535" s="38" t="s">
        <v>420</v>
      </c>
      <c r="C1535" s="30" t="s">
        <v>2609</v>
      </c>
      <c r="D1535" s="14" t="s">
        <v>422</v>
      </c>
    </row>
    <row r="1536" spans="1:4" ht="19.5" customHeight="1">
      <c r="A1536" s="9"/>
      <c r="B1536" s="38" t="s">
        <v>420</v>
      </c>
      <c r="C1536" s="30" t="s">
        <v>2609</v>
      </c>
      <c r="D1536" s="14" t="s">
        <v>422</v>
      </c>
    </row>
    <row r="1537" spans="1:4" ht="19.5" customHeight="1">
      <c r="A1537" s="9"/>
      <c r="B1537" s="38" t="s">
        <v>420</v>
      </c>
      <c r="C1537" s="30" t="s">
        <v>2670</v>
      </c>
      <c r="D1537" s="14" t="s">
        <v>422</v>
      </c>
    </row>
    <row r="1538" spans="1:4" ht="19.5" customHeight="1">
      <c r="A1538" s="9"/>
      <c r="B1538" s="38" t="s">
        <v>420</v>
      </c>
      <c r="C1538" s="30" t="s">
        <v>2609</v>
      </c>
      <c r="D1538" s="14" t="s">
        <v>422</v>
      </c>
    </row>
    <row r="1539" spans="1:4" ht="19.5" customHeight="1">
      <c r="A1539" s="9"/>
      <c r="B1539" s="38" t="s">
        <v>2671</v>
      </c>
      <c r="C1539" s="34" t="s">
        <v>2608</v>
      </c>
      <c r="D1539" s="14" t="s">
        <v>2107</v>
      </c>
    </row>
    <row r="1540" spans="1:4" ht="19.5" customHeight="1">
      <c r="A1540" s="9"/>
      <c r="B1540" s="38" t="s">
        <v>2694</v>
      </c>
      <c r="C1540" s="34" t="s">
        <v>2608</v>
      </c>
      <c r="D1540" s="14" t="s">
        <v>1846</v>
      </c>
    </row>
    <row r="1541" spans="1:4" ht="19.5" customHeight="1">
      <c r="A1541" s="9"/>
      <c r="B1541" s="38" t="s">
        <v>2672</v>
      </c>
      <c r="C1541" s="34" t="s">
        <v>2608</v>
      </c>
      <c r="D1541" s="14" t="s">
        <v>2673</v>
      </c>
    </row>
    <row r="1542" spans="1:4" ht="19.5" customHeight="1">
      <c r="A1542" s="9"/>
      <c r="B1542" s="38" t="s">
        <v>2674</v>
      </c>
      <c r="C1542" s="36">
        <v>2</v>
      </c>
      <c r="D1542" s="14" t="s">
        <v>2377</v>
      </c>
    </row>
    <row r="1543" spans="1:4" ht="19.5" customHeight="1">
      <c r="A1543" s="9"/>
      <c r="B1543" s="38" t="s">
        <v>2691</v>
      </c>
      <c r="C1543" s="36">
        <v>1</v>
      </c>
      <c r="D1543" s="14" t="s">
        <v>2284</v>
      </c>
    </row>
    <row r="1544" spans="1:4" ht="19.5" customHeight="1">
      <c r="A1544" s="9"/>
      <c r="B1544" s="38" t="s">
        <v>2695</v>
      </c>
      <c r="C1544" s="36">
        <v>1</v>
      </c>
      <c r="D1544" s="14" t="s">
        <v>1111</v>
      </c>
    </row>
    <row r="1545" spans="1:4" ht="15" customHeight="1">
      <c r="A1545" s="9"/>
      <c r="B1545" s="38" t="s">
        <v>2675</v>
      </c>
      <c r="C1545" s="36">
        <v>2</v>
      </c>
      <c r="D1545" s="14" t="s">
        <v>1105</v>
      </c>
    </row>
    <row r="1546" spans="1:4" ht="15" customHeight="1">
      <c r="A1546" s="9"/>
      <c r="B1546" s="38" t="s">
        <v>2692</v>
      </c>
      <c r="C1546" s="36">
        <v>1</v>
      </c>
      <c r="D1546" s="14" t="s">
        <v>1125</v>
      </c>
    </row>
    <row r="1547" spans="1:4" ht="15" customHeight="1">
      <c r="A1547" s="9"/>
      <c r="B1547" s="39" t="s">
        <v>2697</v>
      </c>
      <c r="C1547" s="32">
        <v>1</v>
      </c>
      <c r="D1547" s="14" t="s">
        <v>526</v>
      </c>
    </row>
    <row r="1548" spans="1:4" ht="15" customHeight="1">
      <c r="A1548" s="9" t="s">
        <v>1422</v>
      </c>
      <c r="B1548" s="37" t="s">
        <v>2669</v>
      </c>
      <c r="C1548" s="34" t="s">
        <v>2608</v>
      </c>
      <c r="D1548" s="14" t="s">
        <v>2096</v>
      </c>
    </row>
    <row r="1549" spans="1:4" ht="15" customHeight="1">
      <c r="A1549" s="9"/>
      <c r="B1549" s="38" t="s">
        <v>420</v>
      </c>
      <c r="C1549" s="30" t="s">
        <v>2609</v>
      </c>
      <c r="D1549" s="14" t="s">
        <v>422</v>
      </c>
    </row>
    <row r="1550" spans="1:4" ht="15" customHeight="1">
      <c r="A1550" s="9"/>
      <c r="B1550" s="38" t="s">
        <v>420</v>
      </c>
      <c r="C1550" s="30" t="s">
        <v>2609</v>
      </c>
      <c r="D1550" s="14" t="s">
        <v>422</v>
      </c>
    </row>
    <row r="1551" spans="1:4" ht="15" customHeight="1">
      <c r="A1551" s="9"/>
      <c r="B1551" s="38" t="s">
        <v>420</v>
      </c>
      <c r="C1551" s="30" t="s">
        <v>2670</v>
      </c>
      <c r="D1551" s="14" t="s">
        <v>422</v>
      </c>
    </row>
    <row r="1552" spans="1:4" ht="15" customHeight="1">
      <c r="A1552" s="9"/>
      <c r="B1552" s="38" t="s">
        <v>420</v>
      </c>
      <c r="C1552" s="30" t="s">
        <v>2609</v>
      </c>
      <c r="D1552" s="14" t="s">
        <v>422</v>
      </c>
    </row>
    <row r="1553" spans="1:4" ht="15" customHeight="1">
      <c r="A1553" s="9"/>
      <c r="B1553" s="38" t="s">
        <v>2671</v>
      </c>
      <c r="C1553" s="34" t="s">
        <v>2608</v>
      </c>
      <c r="D1553" s="14" t="s">
        <v>2107</v>
      </c>
    </row>
    <row r="1554" spans="1:4" ht="15" customHeight="1">
      <c r="A1554" s="9"/>
      <c r="B1554" s="38" t="s">
        <v>2694</v>
      </c>
      <c r="C1554" s="34" t="s">
        <v>2608</v>
      </c>
      <c r="D1554" s="14" t="s">
        <v>1846</v>
      </c>
    </row>
    <row r="1555" spans="1:4" ht="15" customHeight="1">
      <c r="A1555" s="9"/>
      <c r="B1555" s="38" t="s">
        <v>2672</v>
      </c>
      <c r="C1555" s="34" t="s">
        <v>2608</v>
      </c>
      <c r="D1555" s="14" t="s">
        <v>2673</v>
      </c>
    </row>
    <row r="1556" spans="1:4" ht="15" customHeight="1">
      <c r="A1556" s="9"/>
      <c r="B1556" s="38" t="s">
        <v>2674</v>
      </c>
      <c r="C1556" s="36">
        <v>2</v>
      </c>
      <c r="D1556" s="14" t="s">
        <v>2377</v>
      </c>
    </row>
    <row r="1557" spans="1:4" ht="15" customHeight="1">
      <c r="A1557" s="9"/>
      <c r="B1557" s="38" t="s">
        <v>2691</v>
      </c>
      <c r="C1557" s="36">
        <v>1</v>
      </c>
      <c r="D1557" s="14" t="s">
        <v>2284</v>
      </c>
    </row>
    <row r="1558" spans="1:4" ht="15" customHeight="1">
      <c r="A1558" s="9"/>
      <c r="B1558" s="38" t="s">
        <v>2695</v>
      </c>
      <c r="C1558" s="36">
        <v>2</v>
      </c>
      <c r="D1558" s="14" t="s">
        <v>1111</v>
      </c>
    </row>
    <row r="1559" spans="1:4" ht="15" customHeight="1">
      <c r="A1559" s="9"/>
      <c r="B1559" s="38" t="s">
        <v>2675</v>
      </c>
      <c r="C1559" s="36">
        <v>2</v>
      </c>
      <c r="D1559" s="14" t="s">
        <v>1105</v>
      </c>
    </row>
    <row r="1560" spans="1:4" ht="15" customHeight="1">
      <c r="A1560" s="9"/>
      <c r="B1560" s="38" t="s">
        <v>2692</v>
      </c>
      <c r="C1560" s="36">
        <v>1</v>
      </c>
      <c r="D1560" s="14" t="s">
        <v>1125</v>
      </c>
    </row>
    <row r="1561" spans="1:4" ht="15" customHeight="1">
      <c r="A1561" s="9"/>
      <c r="B1561" s="39" t="s">
        <v>2693</v>
      </c>
      <c r="C1561" s="32">
        <v>1</v>
      </c>
      <c r="D1561" s="14" t="s">
        <v>526</v>
      </c>
    </row>
    <row r="1562" spans="1:4" ht="19.5" customHeight="1">
      <c r="A1562" s="35"/>
      <c r="B1562" s="38"/>
      <c r="C1562" s="36"/>
      <c r="D1562" s="14"/>
    </row>
    <row r="1563" spans="1:4" ht="19.5" customHeight="1">
      <c r="A1563" s="9" t="s">
        <v>1424</v>
      </c>
      <c r="B1563" s="37" t="s">
        <v>2680</v>
      </c>
      <c r="C1563" s="34" t="s">
        <v>2608</v>
      </c>
      <c r="D1563" s="14" t="s">
        <v>2232</v>
      </c>
    </row>
    <row r="1564" spans="1:4" ht="19.5" customHeight="1">
      <c r="A1564" s="9"/>
      <c r="B1564" s="38" t="s">
        <v>420</v>
      </c>
      <c r="C1564" s="30" t="s">
        <v>2609</v>
      </c>
      <c r="D1564" s="14" t="s">
        <v>422</v>
      </c>
    </row>
    <row r="1565" spans="1:4" ht="19.5" customHeight="1">
      <c r="A1565" s="9"/>
      <c r="B1565" s="38" t="s">
        <v>420</v>
      </c>
      <c r="C1565" s="30" t="s">
        <v>2670</v>
      </c>
      <c r="D1565" s="14" t="s">
        <v>422</v>
      </c>
    </row>
    <row r="1566" spans="1:4" ht="19.5" customHeight="1">
      <c r="A1566" s="9"/>
      <c r="B1566" s="38" t="s">
        <v>420</v>
      </c>
      <c r="C1566" s="30" t="s">
        <v>2609</v>
      </c>
      <c r="D1566" s="14" t="s">
        <v>422</v>
      </c>
    </row>
    <row r="1567" spans="1:4" ht="19.5" customHeight="1">
      <c r="A1567" s="9"/>
      <c r="B1567" s="38" t="s">
        <v>420</v>
      </c>
      <c r="C1567" s="30" t="s">
        <v>2609</v>
      </c>
      <c r="D1567" s="14" t="s">
        <v>422</v>
      </c>
    </row>
    <row r="1568" spans="1:4" ht="19.5" customHeight="1">
      <c r="A1568" s="9"/>
      <c r="B1568" s="38" t="s">
        <v>2671</v>
      </c>
      <c r="C1568" s="34" t="s">
        <v>2608</v>
      </c>
      <c r="D1568" s="14" t="s">
        <v>2107</v>
      </c>
    </row>
    <row r="1569" spans="1:4" ht="19.5" customHeight="1">
      <c r="A1569" s="9"/>
      <c r="B1569" s="38" t="s">
        <v>2694</v>
      </c>
      <c r="C1569" s="34" t="s">
        <v>2608</v>
      </c>
      <c r="D1569" s="14" t="s">
        <v>1846</v>
      </c>
    </row>
    <row r="1570" spans="1:4" ht="19.5" customHeight="1">
      <c r="A1570" s="9"/>
      <c r="B1570" s="38" t="s">
        <v>2672</v>
      </c>
      <c r="C1570" s="34" t="s">
        <v>2608</v>
      </c>
      <c r="D1570" s="14" t="s">
        <v>2673</v>
      </c>
    </row>
    <row r="1571" spans="1:4" ht="19.5" customHeight="1">
      <c r="A1571" s="9"/>
      <c r="B1571" s="38" t="s">
        <v>2674</v>
      </c>
      <c r="C1571" s="36">
        <v>2</v>
      </c>
      <c r="D1571" s="14" t="s">
        <v>2377</v>
      </c>
    </row>
    <row r="1572" spans="1:4" ht="19.5" customHeight="1">
      <c r="A1572" s="9"/>
      <c r="B1572" s="38" t="s">
        <v>2691</v>
      </c>
      <c r="C1572" s="36">
        <v>1</v>
      </c>
      <c r="D1572" s="14" t="s">
        <v>2284</v>
      </c>
    </row>
    <row r="1573" spans="1:4" ht="19.5" customHeight="1">
      <c r="A1573" s="9"/>
      <c r="B1573" s="38" t="s">
        <v>2695</v>
      </c>
      <c r="C1573" s="36">
        <v>2</v>
      </c>
      <c r="D1573" s="14" t="s">
        <v>1111</v>
      </c>
    </row>
    <row r="1574" spans="1:4" ht="19.5" customHeight="1">
      <c r="A1574" s="9"/>
      <c r="B1574" s="38" t="s">
        <v>2675</v>
      </c>
      <c r="C1574" s="36">
        <v>2</v>
      </c>
      <c r="D1574" s="14" t="s">
        <v>1105</v>
      </c>
    </row>
    <row r="1575" spans="1:4" ht="19.5" customHeight="1">
      <c r="A1575" s="9"/>
      <c r="B1575" s="38" t="s">
        <v>2692</v>
      </c>
      <c r="C1575" s="36">
        <v>1</v>
      </c>
      <c r="D1575" s="14" t="s">
        <v>1125</v>
      </c>
    </row>
    <row r="1576" spans="1:4" ht="19.5" customHeight="1">
      <c r="A1576" s="9"/>
      <c r="B1576" s="39" t="s">
        <v>2676</v>
      </c>
      <c r="C1576" s="32">
        <v>1</v>
      </c>
      <c r="D1576" s="14" t="s">
        <v>530</v>
      </c>
    </row>
    <row r="1577" spans="1:4" ht="19.5" customHeight="1">
      <c r="A1577" s="9" t="s">
        <v>1426</v>
      </c>
      <c r="B1577" s="37" t="s">
        <v>2678</v>
      </c>
      <c r="C1577" s="34" t="s">
        <v>2608</v>
      </c>
      <c r="D1577" s="14" t="s">
        <v>2240</v>
      </c>
    </row>
    <row r="1578" spans="1:4" ht="19.5" customHeight="1">
      <c r="A1578" s="9"/>
      <c r="B1578" s="38" t="s">
        <v>420</v>
      </c>
      <c r="C1578" s="30" t="s">
        <v>2609</v>
      </c>
      <c r="D1578" s="14" t="s">
        <v>422</v>
      </c>
    </row>
    <row r="1579" spans="1:4" ht="19.5" customHeight="1">
      <c r="A1579" s="9"/>
      <c r="B1579" s="38" t="s">
        <v>420</v>
      </c>
      <c r="C1579" s="30" t="s">
        <v>2670</v>
      </c>
      <c r="D1579" s="14" t="s">
        <v>422</v>
      </c>
    </row>
    <row r="1580" spans="1:4" ht="19.5" customHeight="1">
      <c r="A1580" s="9"/>
      <c r="B1580" s="38" t="s">
        <v>420</v>
      </c>
      <c r="C1580" s="30" t="s">
        <v>2609</v>
      </c>
      <c r="D1580" s="14" t="s">
        <v>422</v>
      </c>
    </row>
    <row r="1581" spans="1:4" ht="19.5" customHeight="1">
      <c r="A1581" s="9"/>
      <c r="B1581" s="38" t="s">
        <v>420</v>
      </c>
      <c r="C1581" s="30" t="s">
        <v>2609</v>
      </c>
      <c r="D1581" s="14" t="s">
        <v>422</v>
      </c>
    </row>
    <row r="1582" spans="1:4" ht="19.5" customHeight="1">
      <c r="A1582" s="9"/>
      <c r="B1582" s="38" t="s">
        <v>2671</v>
      </c>
      <c r="C1582" s="34" t="s">
        <v>2608</v>
      </c>
      <c r="D1582" s="14" t="s">
        <v>2107</v>
      </c>
    </row>
    <row r="1583" spans="1:4" ht="19.5" customHeight="1">
      <c r="A1583" s="9"/>
      <c r="B1583" s="38" t="s">
        <v>2694</v>
      </c>
      <c r="C1583" s="34" t="s">
        <v>2608</v>
      </c>
      <c r="D1583" s="14" t="s">
        <v>2117</v>
      </c>
    </row>
    <row r="1584" spans="1:4" ht="19.5" customHeight="1">
      <c r="A1584" s="9"/>
      <c r="B1584" s="38" t="s">
        <v>2672</v>
      </c>
      <c r="C1584" s="34" t="s">
        <v>2608</v>
      </c>
      <c r="D1584" s="14" t="s">
        <v>2673</v>
      </c>
    </row>
    <row r="1585" spans="1:4" ht="19.5" customHeight="1">
      <c r="A1585" s="9"/>
      <c r="B1585" s="38" t="s">
        <v>2674</v>
      </c>
      <c r="C1585" s="36">
        <v>2</v>
      </c>
      <c r="D1585" s="14" t="s">
        <v>2377</v>
      </c>
    </row>
    <row r="1586" spans="1:4" ht="15" customHeight="1">
      <c r="A1586" s="9"/>
      <c r="B1586" s="38" t="s">
        <v>2691</v>
      </c>
      <c r="C1586" s="36">
        <v>1</v>
      </c>
      <c r="D1586" s="14" t="s">
        <v>2284</v>
      </c>
    </row>
    <row r="1587" spans="1:4" ht="15" customHeight="1">
      <c r="A1587" s="9"/>
      <c r="B1587" s="38" t="s">
        <v>2695</v>
      </c>
      <c r="C1587" s="36">
        <v>2</v>
      </c>
      <c r="D1587" s="14" t="s">
        <v>1111</v>
      </c>
    </row>
    <row r="1588" spans="1:4" ht="15" customHeight="1">
      <c r="A1588" s="9"/>
      <c r="B1588" s="38" t="s">
        <v>2675</v>
      </c>
      <c r="C1588" s="36">
        <v>2</v>
      </c>
      <c r="D1588" s="14" t="s">
        <v>1105</v>
      </c>
    </row>
    <row r="1589" spans="1:4" ht="15" customHeight="1">
      <c r="A1589" s="9"/>
      <c r="B1589" s="38" t="s">
        <v>2692</v>
      </c>
      <c r="C1589" s="36">
        <v>1</v>
      </c>
      <c r="D1589" s="14" t="s">
        <v>1125</v>
      </c>
    </row>
    <row r="1590" spans="1:4" ht="15" customHeight="1">
      <c r="A1590" s="9"/>
      <c r="B1590" s="39" t="s">
        <v>2676</v>
      </c>
      <c r="C1590" s="32">
        <v>1</v>
      </c>
      <c r="D1590" s="14" t="s">
        <v>530</v>
      </c>
    </row>
    <row r="1591" spans="1:4" ht="15" customHeight="1">
      <c r="A1591" s="9" t="s">
        <v>1428</v>
      </c>
      <c r="B1591" s="37" t="s">
        <v>2669</v>
      </c>
      <c r="C1591" s="34" t="s">
        <v>2608</v>
      </c>
      <c r="D1591" s="14" t="s">
        <v>2096</v>
      </c>
    </row>
    <row r="1592" spans="1:4" ht="15" customHeight="1">
      <c r="A1592" s="9"/>
      <c r="B1592" s="38" t="s">
        <v>420</v>
      </c>
      <c r="C1592" s="30" t="s">
        <v>2609</v>
      </c>
      <c r="D1592" s="14" t="s">
        <v>422</v>
      </c>
    </row>
    <row r="1593" spans="1:4" ht="15" customHeight="1">
      <c r="A1593" s="9"/>
      <c r="B1593" s="38" t="s">
        <v>420</v>
      </c>
      <c r="C1593" s="30" t="s">
        <v>2609</v>
      </c>
      <c r="D1593" s="14" t="s">
        <v>422</v>
      </c>
    </row>
    <row r="1594" spans="1:4" ht="15" customHeight="1">
      <c r="A1594" s="9"/>
      <c r="B1594" s="38" t="s">
        <v>420</v>
      </c>
      <c r="C1594" s="30" t="s">
        <v>2670</v>
      </c>
      <c r="D1594" s="14" t="s">
        <v>422</v>
      </c>
    </row>
    <row r="1595" spans="1:4" ht="15" customHeight="1">
      <c r="A1595" s="9"/>
      <c r="B1595" s="38" t="s">
        <v>420</v>
      </c>
      <c r="C1595" s="30" t="s">
        <v>2609</v>
      </c>
      <c r="D1595" s="14" t="s">
        <v>422</v>
      </c>
    </row>
    <row r="1596" spans="1:4" ht="15" customHeight="1">
      <c r="A1596" s="9"/>
      <c r="B1596" s="38" t="s">
        <v>2671</v>
      </c>
      <c r="C1596" s="34" t="s">
        <v>2608</v>
      </c>
      <c r="D1596" s="14" t="s">
        <v>2107</v>
      </c>
    </row>
    <row r="1597" spans="1:4" ht="15" customHeight="1">
      <c r="A1597" s="9"/>
      <c r="B1597" s="38" t="s">
        <v>2694</v>
      </c>
      <c r="C1597" s="34" t="s">
        <v>2608</v>
      </c>
      <c r="D1597" s="14" t="s">
        <v>1846</v>
      </c>
    </row>
    <row r="1598" spans="1:4" ht="15" customHeight="1">
      <c r="A1598" s="9"/>
      <c r="B1598" s="38" t="s">
        <v>2672</v>
      </c>
      <c r="C1598" s="34" t="s">
        <v>2608</v>
      </c>
      <c r="D1598" s="14" t="s">
        <v>2673</v>
      </c>
    </row>
    <row r="1599" spans="1:4" ht="15" customHeight="1">
      <c r="A1599" s="9"/>
      <c r="B1599" s="38" t="s">
        <v>2674</v>
      </c>
      <c r="C1599" s="36">
        <v>2</v>
      </c>
      <c r="D1599" s="14" t="s">
        <v>2377</v>
      </c>
    </row>
    <row r="1600" spans="1:4" ht="15" customHeight="1">
      <c r="A1600" s="9"/>
      <c r="B1600" s="38" t="s">
        <v>2691</v>
      </c>
      <c r="C1600" s="36">
        <v>1</v>
      </c>
      <c r="D1600" s="14" t="s">
        <v>2284</v>
      </c>
    </row>
    <row r="1601" spans="1:4" ht="15" customHeight="1">
      <c r="A1601" s="9"/>
      <c r="B1601" s="38" t="s">
        <v>2695</v>
      </c>
      <c r="C1601" s="36">
        <v>3</v>
      </c>
      <c r="D1601" s="14" t="s">
        <v>1111</v>
      </c>
    </row>
    <row r="1602" spans="1:4" ht="15" customHeight="1">
      <c r="A1602" s="9"/>
      <c r="B1602" s="38" t="s">
        <v>2675</v>
      </c>
      <c r="C1602" s="36">
        <v>2</v>
      </c>
      <c r="D1602" s="14" t="s">
        <v>1105</v>
      </c>
    </row>
    <row r="1603" spans="1:4" ht="19.5" customHeight="1">
      <c r="A1603" s="9"/>
      <c r="B1603" s="38" t="s">
        <v>2692</v>
      </c>
      <c r="C1603" s="36">
        <v>1</v>
      </c>
      <c r="D1603" s="14" t="s">
        <v>1125</v>
      </c>
    </row>
    <row r="1604" spans="1:4" ht="19.5" customHeight="1">
      <c r="A1604" s="9"/>
      <c r="B1604" s="39" t="s">
        <v>2676</v>
      </c>
      <c r="C1604" s="32">
        <v>1</v>
      </c>
      <c r="D1604" s="14" t="s">
        <v>530</v>
      </c>
    </row>
    <row r="1605" spans="1:4" ht="19.5" customHeight="1">
      <c r="A1605" s="35"/>
      <c r="B1605" s="38"/>
      <c r="C1605" s="36"/>
      <c r="D1605" s="14"/>
    </row>
    <row r="1606" spans="1:4" ht="19.5" customHeight="1">
      <c r="A1606" s="9" t="s">
        <v>1430</v>
      </c>
      <c r="B1606" s="37" t="s">
        <v>2680</v>
      </c>
      <c r="C1606" s="34" t="s">
        <v>2608</v>
      </c>
      <c r="D1606" s="14" t="s">
        <v>2232</v>
      </c>
    </row>
    <row r="1607" spans="1:4" ht="19.5" customHeight="1">
      <c r="A1607" s="9"/>
      <c r="B1607" s="38" t="s">
        <v>2690</v>
      </c>
      <c r="C1607" s="30" t="s">
        <v>2609</v>
      </c>
      <c r="D1607" s="14" t="s">
        <v>426</v>
      </c>
    </row>
    <row r="1608" spans="1:4" ht="19.5" customHeight="1">
      <c r="A1608" s="9"/>
      <c r="B1608" s="38" t="s">
        <v>420</v>
      </c>
      <c r="C1608" s="30" t="s">
        <v>2670</v>
      </c>
      <c r="D1608" s="14" t="s">
        <v>422</v>
      </c>
    </row>
    <row r="1609" spans="1:4" ht="19.5" customHeight="1">
      <c r="A1609" s="9"/>
      <c r="B1609" s="38" t="s">
        <v>420</v>
      </c>
      <c r="C1609" s="30" t="s">
        <v>2609</v>
      </c>
      <c r="D1609" s="14" t="s">
        <v>422</v>
      </c>
    </row>
    <row r="1610" spans="1:4" ht="19.5" customHeight="1">
      <c r="A1610" s="9"/>
      <c r="B1610" s="38" t="s">
        <v>420</v>
      </c>
      <c r="C1610" s="30" t="s">
        <v>2609</v>
      </c>
      <c r="D1610" s="14" t="s">
        <v>422</v>
      </c>
    </row>
    <row r="1611" spans="1:4" ht="19.5" customHeight="1">
      <c r="A1611" s="9"/>
      <c r="B1611" s="38" t="s">
        <v>2671</v>
      </c>
      <c r="C1611" s="34" t="s">
        <v>2608</v>
      </c>
      <c r="D1611" s="14" t="s">
        <v>2107</v>
      </c>
    </row>
    <row r="1612" spans="1:4" ht="19.5" customHeight="1">
      <c r="A1612" s="9"/>
      <c r="B1612" s="38" t="s">
        <v>2694</v>
      </c>
      <c r="C1612" s="34" t="s">
        <v>2608</v>
      </c>
      <c r="D1612" s="14" t="s">
        <v>1846</v>
      </c>
    </row>
    <row r="1613" spans="1:4" ht="19.5" customHeight="1">
      <c r="A1613" s="9"/>
      <c r="B1613" s="38" t="s">
        <v>2672</v>
      </c>
      <c r="C1613" s="34" t="s">
        <v>2608</v>
      </c>
      <c r="D1613" s="14" t="s">
        <v>2673</v>
      </c>
    </row>
    <row r="1614" spans="1:4" ht="19.5" customHeight="1">
      <c r="A1614" s="9"/>
      <c r="B1614" s="38" t="s">
        <v>2674</v>
      </c>
      <c r="C1614" s="36">
        <v>2</v>
      </c>
      <c r="D1614" s="14" t="s">
        <v>2377</v>
      </c>
    </row>
    <row r="1615" spans="1:4" ht="19.5" customHeight="1">
      <c r="A1615" s="9"/>
      <c r="B1615" s="38" t="s">
        <v>2691</v>
      </c>
      <c r="C1615" s="36">
        <v>1</v>
      </c>
      <c r="D1615" s="14" t="s">
        <v>2284</v>
      </c>
    </row>
    <row r="1616" spans="1:4" ht="19.5" customHeight="1">
      <c r="A1616" s="9"/>
      <c r="B1616" s="38" t="s">
        <v>2695</v>
      </c>
      <c r="C1616" s="36">
        <v>3</v>
      </c>
      <c r="D1616" s="14" t="s">
        <v>1111</v>
      </c>
    </row>
    <row r="1617" spans="1:4" ht="19.5" customHeight="1">
      <c r="A1617" s="9"/>
      <c r="B1617" s="38" t="s">
        <v>2675</v>
      </c>
      <c r="C1617" s="36">
        <v>2</v>
      </c>
      <c r="D1617" s="14" t="s">
        <v>1105</v>
      </c>
    </row>
    <row r="1618" spans="1:4" ht="19.5" customHeight="1">
      <c r="A1618" s="9"/>
      <c r="B1618" s="38" t="s">
        <v>2692</v>
      </c>
      <c r="C1618" s="36">
        <v>1</v>
      </c>
      <c r="D1618" s="14" t="s">
        <v>1125</v>
      </c>
    </row>
    <row r="1619" spans="1:4" ht="19.5" customHeight="1">
      <c r="A1619" s="9"/>
      <c r="B1619" s="39" t="s">
        <v>2676</v>
      </c>
      <c r="C1619" s="32">
        <v>1</v>
      </c>
      <c r="D1619" s="14" t="s">
        <v>530</v>
      </c>
    </row>
    <row r="1620" spans="1:4" ht="19.5" customHeight="1">
      <c r="A1620" s="9" t="s">
        <v>1432</v>
      </c>
      <c r="B1620" s="37" t="s">
        <v>2678</v>
      </c>
      <c r="C1620" s="34" t="s">
        <v>2608</v>
      </c>
      <c r="D1620" s="14" t="s">
        <v>2240</v>
      </c>
    </row>
    <row r="1621" spans="1:4" ht="19.5" customHeight="1">
      <c r="A1621" s="9"/>
      <c r="B1621" s="38" t="s">
        <v>420</v>
      </c>
      <c r="C1621" s="30" t="s">
        <v>2609</v>
      </c>
      <c r="D1621" s="14" t="s">
        <v>422</v>
      </c>
    </row>
    <row r="1622" spans="1:4" ht="19.5" customHeight="1">
      <c r="A1622" s="9"/>
      <c r="B1622" s="38" t="s">
        <v>420</v>
      </c>
      <c r="C1622" s="30" t="s">
        <v>2670</v>
      </c>
      <c r="D1622" s="14" t="s">
        <v>422</v>
      </c>
    </row>
    <row r="1623" spans="1:4" ht="19.5" customHeight="1">
      <c r="A1623" s="9"/>
      <c r="B1623" s="38" t="s">
        <v>420</v>
      </c>
      <c r="C1623" s="30" t="s">
        <v>2609</v>
      </c>
      <c r="D1623" s="14" t="s">
        <v>422</v>
      </c>
    </row>
    <row r="1624" spans="1:4" ht="19.5" customHeight="1">
      <c r="A1624" s="9"/>
      <c r="B1624" s="38" t="s">
        <v>420</v>
      </c>
      <c r="C1624" s="30" t="s">
        <v>2609</v>
      </c>
      <c r="D1624" s="14" t="s">
        <v>422</v>
      </c>
    </row>
    <row r="1625" spans="1:4" ht="19.5" customHeight="1">
      <c r="A1625" s="9"/>
      <c r="B1625" s="38" t="s">
        <v>2671</v>
      </c>
      <c r="C1625" s="34" t="s">
        <v>2608</v>
      </c>
      <c r="D1625" s="14" t="s">
        <v>2107</v>
      </c>
    </row>
    <row r="1626" spans="1:4" ht="19.5" customHeight="1">
      <c r="A1626" s="9"/>
      <c r="B1626" s="38" t="s">
        <v>2694</v>
      </c>
      <c r="C1626" s="34" t="s">
        <v>2608</v>
      </c>
      <c r="D1626" s="14" t="s">
        <v>1846</v>
      </c>
    </row>
    <row r="1627" spans="1:4" ht="19.5" customHeight="1">
      <c r="A1627" s="9"/>
      <c r="B1627" s="38" t="s">
        <v>2672</v>
      </c>
      <c r="C1627" s="34" t="s">
        <v>2608</v>
      </c>
      <c r="D1627" s="14" t="s">
        <v>2673</v>
      </c>
    </row>
    <row r="1628" spans="1:4" ht="19.5" customHeight="1">
      <c r="A1628" s="9"/>
      <c r="B1628" s="38" t="s">
        <v>2674</v>
      </c>
      <c r="C1628" s="36">
        <v>2</v>
      </c>
      <c r="D1628" s="14" t="s">
        <v>2377</v>
      </c>
    </row>
    <row r="1629" spans="1:4" ht="19.5" customHeight="1">
      <c r="A1629" s="9"/>
      <c r="B1629" s="38" t="s">
        <v>2691</v>
      </c>
      <c r="C1629" s="36">
        <v>1</v>
      </c>
      <c r="D1629" s="14" t="s">
        <v>2284</v>
      </c>
    </row>
    <row r="1630" spans="1:4" ht="19.5" customHeight="1">
      <c r="A1630" s="9"/>
      <c r="B1630" s="38" t="s">
        <v>2695</v>
      </c>
      <c r="C1630" s="36">
        <v>3</v>
      </c>
      <c r="D1630" s="14" t="s">
        <v>1111</v>
      </c>
    </row>
    <row r="1631" spans="1:4" ht="19.5" customHeight="1">
      <c r="A1631" s="9"/>
      <c r="B1631" s="38" t="s">
        <v>2675</v>
      </c>
      <c r="C1631" s="36">
        <v>2</v>
      </c>
      <c r="D1631" s="14" t="s">
        <v>1105</v>
      </c>
    </row>
    <row r="1632" spans="1:4" ht="19.5" customHeight="1">
      <c r="A1632" s="9"/>
      <c r="B1632" s="38" t="s">
        <v>2692</v>
      </c>
      <c r="C1632" s="36">
        <v>1</v>
      </c>
      <c r="D1632" s="14" t="s">
        <v>1125</v>
      </c>
    </row>
    <row r="1633" spans="1:4" ht="19.5" customHeight="1">
      <c r="A1633" s="9"/>
      <c r="B1633" s="39" t="s">
        <v>2676</v>
      </c>
      <c r="C1633" s="32">
        <v>1</v>
      </c>
      <c r="D1633" s="14" t="s">
        <v>530</v>
      </c>
    </row>
    <row r="1634" spans="1:4" ht="19.5" customHeight="1">
      <c r="A1634" s="8" t="s">
        <v>1434</v>
      </c>
      <c r="B1634" s="37" t="s">
        <v>2669</v>
      </c>
      <c r="C1634" s="34" t="s">
        <v>2608</v>
      </c>
      <c r="D1634" s="14" t="s">
        <v>2096</v>
      </c>
    </row>
    <row r="1635" spans="1:4" ht="19.5" customHeight="1">
      <c r="A1635" s="8"/>
      <c r="B1635" s="38" t="s">
        <v>420</v>
      </c>
      <c r="C1635" s="30" t="s">
        <v>2609</v>
      </c>
      <c r="D1635" s="14" t="s">
        <v>422</v>
      </c>
    </row>
    <row r="1636" spans="1:4" ht="19.5" customHeight="1">
      <c r="A1636" s="8"/>
      <c r="B1636" s="38" t="s">
        <v>2672</v>
      </c>
      <c r="C1636" s="34" t="s">
        <v>2608</v>
      </c>
      <c r="D1636" s="14" t="s">
        <v>2673</v>
      </c>
    </row>
    <row r="1637" spans="1:4" ht="19.5" customHeight="1">
      <c r="A1637" s="8" t="s">
        <v>1436</v>
      </c>
      <c r="B1637" s="37" t="s">
        <v>2680</v>
      </c>
      <c r="C1637" s="34" t="s">
        <v>2608</v>
      </c>
      <c r="D1637" s="14" t="s">
        <v>2232</v>
      </c>
    </row>
    <row r="1638" spans="1:4" ht="19.5" customHeight="1">
      <c r="A1638" s="8"/>
      <c r="B1638" s="38" t="s">
        <v>420</v>
      </c>
      <c r="C1638" s="30" t="s">
        <v>2609</v>
      </c>
      <c r="D1638" s="14" t="s">
        <v>422</v>
      </c>
    </row>
    <row r="1639" spans="1:4" ht="19.5" customHeight="1">
      <c r="A1639" s="8"/>
      <c r="B1639" s="38" t="s">
        <v>2672</v>
      </c>
      <c r="C1639" s="34" t="s">
        <v>2608</v>
      </c>
      <c r="D1639" s="14" t="s">
        <v>2673</v>
      </c>
    </row>
    <row r="1640" spans="1:4" ht="19.5" customHeight="1">
      <c r="A1640" s="8" t="s">
        <v>1438</v>
      </c>
      <c r="B1640" s="37" t="s">
        <v>2678</v>
      </c>
      <c r="C1640" s="34" t="s">
        <v>2608</v>
      </c>
      <c r="D1640" s="14" t="s">
        <v>2240</v>
      </c>
    </row>
    <row r="1641" spans="1:4" ht="19.5" customHeight="1">
      <c r="A1641" s="8"/>
      <c r="B1641" s="38" t="s">
        <v>420</v>
      </c>
      <c r="C1641" s="30" t="s">
        <v>2609</v>
      </c>
      <c r="D1641" s="14" t="s">
        <v>422</v>
      </c>
    </row>
    <row r="1642" spans="1:4" ht="19.5" customHeight="1">
      <c r="A1642" s="8"/>
      <c r="B1642" s="38" t="s">
        <v>2672</v>
      </c>
      <c r="C1642" s="34" t="s">
        <v>2608</v>
      </c>
      <c r="D1642" s="14" t="s">
        <v>2673</v>
      </c>
    </row>
    <row r="1643" spans="1:4" ht="19.5" customHeight="1">
      <c r="A1643" s="35"/>
      <c r="B1643" s="38"/>
      <c r="C1643" s="34"/>
      <c r="D1643" s="14"/>
    </row>
    <row r="1644" spans="1:4" ht="19.5" customHeight="1">
      <c r="A1644" s="9" t="s">
        <v>1440</v>
      </c>
      <c r="B1644" s="37" t="s">
        <v>2669</v>
      </c>
      <c r="C1644" s="34" t="s">
        <v>2608</v>
      </c>
      <c r="D1644" s="14" t="s">
        <v>2096</v>
      </c>
    </row>
    <row r="1645" spans="1:4" ht="19.5" customHeight="1">
      <c r="A1645" s="9"/>
      <c r="B1645" s="38" t="s">
        <v>420</v>
      </c>
      <c r="C1645" s="30" t="s">
        <v>2609</v>
      </c>
      <c r="D1645" s="14" t="s">
        <v>422</v>
      </c>
    </row>
    <row r="1646" spans="1:4" ht="19.5" customHeight="1">
      <c r="A1646" s="9"/>
      <c r="B1646" s="38" t="s">
        <v>420</v>
      </c>
      <c r="C1646" s="30" t="s">
        <v>2609</v>
      </c>
      <c r="D1646" s="14" t="s">
        <v>422</v>
      </c>
    </row>
    <row r="1647" spans="1:4" ht="19.5" customHeight="1">
      <c r="A1647" s="9"/>
      <c r="B1647" s="38" t="s">
        <v>420</v>
      </c>
      <c r="C1647" s="30" t="s">
        <v>2609</v>
      </c>
      <c r="D1647" s="14" t="s">
        <v>422</v>
      </c>
    </row>
    <row r="1648" spans="1:4" ht="19.5" customHeight="1">
      <c r="A1648" s="9"/>
      <c r="B1648" s="38" t="s">
        <v>420</v>
      </c>
      <c r="C1648" s="30" t="s">
        <v>2670</v>
      </c>
      <c r="D1648" s="14" t="s">
        <v>422</v>
      </c>
    </row>
    <row r="1649" spans="1:4" ht="19.5" customHeight="1">
      <c r="A1649" s="9"/>
      <c r="B1649" s="38" t="s">
        <v>2671</v>
      </c>
      <c r="C1649" s="34" t="s">
        <v>2608</v>
      </c>
      <c r="D1649" s="14" t="s">
        <v>2107</v>
      </c>
    </row>
    <row r="1650" spans="1:4" ht="19.5" customHeight="1">
      <c r="A1650" s="9"/>
      <c r="B1650" s="38" t="s">
        <v>2694</v>
      </c>
      <c r="C1650" s="34" t="s">
        <v>2608</v>
      </c>
      <c r="D1650" s="14" t="s">
        <v>1846</v>
      </c>
    </row>
    <row r="1651" spans="1:4" ht="19.5" customHeight="1">
      <c r="A1651" s="9"/>
      <c r="B1651" s="38" t="s">
        <v>2672</v>
      </c>
      <c r="C1651" s="34" t="s">
        <v>2608</v>
      </c>
      <c r="D1651" s="14" t="s">
        <v>2673</v>
      </c>
    </row>
    <row r="1652" spans="1:4" ht="19.5" customHeight="1">
      <c r="A1652" s="9"/>
      <c r="B1652" s="38" t="s">
        <v>2674</v>
      </c>
      <c r="C1652" s="36">
        <v>4</v>
      </c>
      <c r="D1652" s="14" t="s">
        <v>2377</v>
      </c>
    </row>
    <row r="1653" spans="1:4" ht="19.5" customHeight="1">
      <c r="A1653" s="9"/>
      <c r="B1653" s="38" t="s">
        <v>2617</v>
      </c>
      <c r="C1653" s="36">
        <v>1</v>
      </c>
      <c r="D1653" s="14" t="s">
        <v>2293</v>
      </c>
    </row>
    <row r="1654" spans="1:4" ht="19.5" customHeight="1">
      <c r="A1654" s="9"/>
      <c r="B1654" s="38" t="s">
        <v>2695</v>
      </c>
      <c r="C1654" s="36">
        <v>1</v>
      </c>
      <c r="D1654" s="14" t="s">
        <v>1111</v>
      </c>
    </row>
    <row r="1655" spans="1:4" ht="19.5" customHeight="1">
      <c r="A1655" s="9"/>
      <c r="B1655" s="38" t="s">
        <v>2675</v>
      </c>
      <c r="C1655" s="36">
        <v>4</v>
      </c>
      <c r="D1655" s="14" t="s">
        <v>1105</v>
      </c>
    </row>
    <row r="1656" spans="1:4" ht="19.5" customHeight="1">
      <c r="A1656" s="9"/>
      <c r="B1656" s="39" t="s">
        <v>2698</v>
      </c>
      <c r="C1656" s="32">
        <v>1</v>
      </c>
      <c r="D1656" s="14" t="s">
        <v>540</v>
      </c>
    </row>
    <row r="1657" spans="1:4" ht="19.5" customHeight="1">
      <c r="A1657" s="9" t="s">
        <v>1442</v>
      </c>
      <c r="B1657" s="37" t="s">
        <v>2680</v>
      </c>
      <c r="C1657" s="34" t="s">
        <v>2608</v>
      </c>
      <c r="D1657" s="14" t="s">
        <v>2232</v>
      </c>
    </row>
    <row r="1658" spans="1:4" ht="19.5" customHeight="1">
      <c r="A1658" s="9"/>
      <c r="B1658" s="38" t="s">
        <v>420</v>
      </c>
      <c r="C1658" s="30" t="s">
        <v>2670</v>
      </c>
      <c r="D1658" s="14" t="s">
        <v>422</v>
      </c>
    </row>
    <row r="1659" spans="1:4" ht="19.5" customHeight="1">
      <c r="A1659" s="9"/>
      <c r="B1659" s="38" t="s">
        <v>420</v>
      </c>
      <c r="C1659" s="30" t="s">
        <v>2609</v>
      </c>
      <c r="D1659" s="14" t="s">
        <v>422</v>
      </c>
    </row>
    <row r="1660" spans="1:4" ht="19.5" customHeight="1">
      <c r="A1660" s="9"/>
      <c r="B1660" s="38" t="s">
        <v>420</v>
      </c>
      <c r="C1660" s="30" t="s">
        <v>2609</v>
      </c>
      <c r="D1660" s="14" t="s">
        <v>422</v>
      </c>
    </row>
    <row r="1661" spans="1:4" ht="19.5" customHeight="1">
      <c r="A1661" s="9"/>
      <c r="B1661" s="38" t="s">
        <v>420</v>
      </c>
      <c r="C1661" s="30" t="s">
        <v>2609</v>
      </c>
      <c r="D1661" s="14" t="s">
        <v>422</v>
      </c>
    </row>
    <row r="1662" spans="1:4" ht="19.5" customHeight="1">
      <c r="A1662" s="9"/>
      <c r="B1662" s="38" t="s">
        <v>2671</v>
      </c>
      <c r="C1662" s="34" t="s">
        <v>2608</v>
      </c>
      <c r="D1662" s="14" t="s">
        <v>2107</v>
      </c>
    </row>
    <row r="1663" spans="1:4" ht="19.5" customHeight="1">
      <c r="A1663" s="9"/>
      <c r="B1663" s="38" t="s">
        <v>2694</v>
      </c>
      <c r="C1663" s="34" t="s">
        <v>2608</v>
      </c>
      <c r="D1663" s="14" t="s">
        <v>1846</v>
      </c>
    </row>
    <row r="1664" spans="1:4" ht="19.5" customHeight="1">
      <c r="A1664" s="9"/>
      <c r="B1664" s="38" t="s">
        <v>2672</v>
      </c>
      <c r="C1664" s="34" t="s">
        <v>2608</v>
      </c>
      <c r="D1664" s="14" t="s">
        <v>2673</v>
      </c>
    </row>
    <row r="1665" spans="1:4" ht="19.5" customHeight="1">
      <c r="A1665" s="9"/>
      <c r="B1665" s="38" t="s">
        <v>2674</v>
      </c>
      <c r="C1665" s="36">
        <v>4</v>
      </c>
      <c r="D1665" s="14" t="s">
        <v>2377</v>
      </c>
    </row>
    <row r="1666" spans="1:4" ht="19.5" customHeight="1">
      <c r="A1666" s="9"/>
      <c r="B1666" s="38" t="s">
        <v>2617</v>
      </c>
      <c r="C1666" s="36">
        <v>1</v>
      </c>
      <c r="D1666" s="14" t="s">
        <v>2293</v>
      </c>
    </row>
    <row r="1667" spans="1:4" ht="19.5" customHeight="1">
      <c r="A1667" s="9"/>
      <c r="B1667" s="38" t="s">
        <v>2695</v>
      </c>
      <c r="C1667" s="36">
        <v>1</v>
      </c>
      <c r="D1667" s="14" t="s">
        <v>1111</v>
      </c>
    </row>
    <row r="1668" spans="1:4" ht="19.5" customHeight="1">
      <c r="A1668" s="9"/>
      <c r="B1668" s="38" t="s">
        <v>2675</v>
      </c>
      <c r="C1668" s="36">
        <v>4</v>
      </c>
      <c r="D1668" s="14" t="s">
        <v>1105</v>
      </c>
    </row>
    <row r="1669" spans="1:4" ht="19.5" customHeight="1">
      <c r="A1669" s="9"/>
      <c r="B1669" s="39" t="s">
        <v>2698</v>
      </c>
      <c r="C1669" s="32">
        <v>1</v>
      </c>
      <c r="D1669" s="14" t="s">
        <v>540</v>
      </c>
    </row>
    <row r="1670" spans="1:4" ht="19.5" customHeight="1">
      <c r="A1670" s="9" t="s">
        <v>1444</v>
      </c>
      <c r="B1670" s="37" t="s">
        <v>2678</v>
      </c>
      <c r="C1670" s="34" t="s">
        <v>2608</v>
      </c>
      <c r="D1670" s="14" t="s">
        <v>2240</v>
      </c>
    </row>
    <row r="1671" spans="1:4" ht="19.5" customHeight="1">
      <c r="A1671" s="9"/>
      <c r="B1671" s="38" t="s">
        <v>420</v>
      </c>
      <c r="C1671" s="30" t="s">
        <v>2609</v>
      </c>
      <c r="D1671" s="14" t="s">
        <v>422</v>
      </c>
    </row>
    <row r="1672" spans="1:4" ht="19.5" customHeight="1">
      <c r="A1672" s="9"/>
      <c r="B1672" s="38" t="s">
        <v>420</v>
      </c>
      <c r="C1672" s="30" t="s">
        <v>2670</v>
      </c>
      <c r="D1672" s="14" t="s">
        <v>422</v>
      </c>
    </row>
    <row r="1673" spans="1:4" ht="19.5" customHeight="1">
      <c r="A1673" s="9"/>
      <c r="B1673" s="38" t="s">
        <v>420</v>
      </c>
      <c r="C1673" s="30" t="s">
        <v>2609</v>
      </c>
      <c r="D1673" s="14" t="s">
        <v>422</v>
      </c>
    </row>
    <row r="1674" spans="1:4" ht="19.5" customHeight="1">
      <c r="A1674" s="9"/>
      <c r="B1674" s="38" t="s">
        <v>420</v>
      </c>
      <c r="C1674" s="30" t="s">
        <v>2609</v>
      </c>
      <c r="D1674" s="14" t="s">
        <v>422</v>
      </c>
    </row>
    <row r="1675" spans="1:4" ht="19.5" customHeight="1">
      <c r="A1675" s="9"/>
      <c r="B1675" s="38" t="s">
        <v>2671</v>
      </c>
      <c r="C1675" s="34" t="s">
        <v>2608</v>
      </c>
      <c r="D1675" s="14" t="s">
        <v>2107</v>
      </c>
    </row>
    <row r="1676" spans="1:4" ht="19.5" customHeight="1">
      <c r="A1676" s="9"/>
      <c r="B1676" s="38" t="s">
        <v>2694</v>
      </c>
      <c r="C1676" s="34" t="s">
        <v>2608</v>
      </c>
      <c r="D1676" s="14" t="s">
        <v>1846</v>
      </c>
    </row>
    <row r="1677" spans="1:4" ht="19.5" customHeight="1">
      <c r="A1677" s="9"/>
      <c r="B1677" s="38" t="s">
        <v>2672</v>
      </c>
      <c r="C1677" s="34" t="s">
        <v>2608</v>
      </c>
      <c r="D1677" s="14" t="s">
        <v>2673</v>
      </c>
    </row>
    <row r="1678" spans="1:4" ht="19.5" customHeight="1">
      <c r="A1678" s="9"/>
      <c r="B1678" s="38" t="s">
        <v>2674</v>
      </c>
      <c r="C1678" s="36">
        <v>4</v>
      </c>
      <c r="D1678" s="14" t="s">
        <v>2377</v>
      </c>
    </row>
    <row r="1679" spans="1:4" ht="19.5" customHeight="1">
      <c r="A1679" s="9"/>
      <c r="B1679" s="38" t="s">
        <v>2617</v>
      </c>
      <c r="C1679" s="36">
        <v>1</v>
      </c>
      <c r="D1679" s="14" t="s">
        <v>2293</v>
      </c>
    </row>
    <row r="1680" spans="1:4" ht="19.5" customHeight="1">
      <c r="A1680" s="9"/>
      <c r="B1680" s="38" t="s">
        <v>2695</v>
      </c>
      <c r="C1680" s="36">
        <v>1</v>
      </c>
      <c r="D1680" s="14" t="s">
        <v>1111</v>
      </c>
    </row>
    <row r="1681" spans="1:4" ht="19.5" customHeight="1">
      <c r="A1681" s="9"/>
      <c r="B1681" s="38" t="s">
        <v>2675</v>
      </c>
      <c r="C1681" s="36">
        <v>4</v>
      </c>
      <c r="D1681" s="14" t="s">
        <v>1105</v>
      </c>
    </row>
    <row r="1682" spans="1:4" ht="19.5" customHeight="1">
      <c r="A1682" s="9"/>
      <c r="B1682" s="39" t="s">
        <v>2698</v>
      </c>
      <c r="C1682" s="32">
        <v>1</v>
      </c>
      <c r="D1682" s="14" t="s">
        <v>540</v>
      </c>
    </row>
    <row r="1683" spans="1:4" ht="19.5" customHeight="1">
      <c r="A1683" s="35"/>
      <c r="B1683" s="38"/>
      <c r="C1683" s="36"/>
      <c r="D1683" s="14"/>
    </row>
    <row r="1684" spans="1:4" ht="19.5" customHeight="1">
      <c r="A1684" s="35"/>
      <c r="B1684" s="38"/>
      <c r="C1684" s="36"/>
      <c r="D1684" s="14"/>
    </row>
    <row r="1685" spans="1:4" ht="19.5" customHeight="1">
      <c r="A1685" s="35"/>
      <c r="B1685" s="38"/>
      <c r="C1685" s="36"/>
      <c r="D1685" s="14"/>
    </row>
    <row r="1686" spans="1:4" ht="19.5" customHeight="1">
      <c r="A1686" s="35"/>
      <c r="B1686" s="38"/>
      <c r="C1686" s="36"/>
      <c r="D1686" s="14"/>
    </row>
    <row r="1687" spans="1:4" ht="19.5" customHeight="1">
      <c r="A1687" s="9" t="s">
        <v>1446</v>
      </c>
      <c r="B1687" s="37" t="s">
        <v>2669</v>
      </c>
      <c r="C1687" s="34" t="s">
        <v>2608</v>
      </c>
      <c r="D1687" s="14" t="s">
        <v>2096</v>
      </c>
    </row>
    <row r="1688" spans="1:4" ht="19.5" customHeight="1">
      <c r="A1688" s="9"/>
      <c r="B1688" s="38" t="s">
        <v>420</v>
      </c>
      <c r="C1688" s="30" t="s">
        <v>2609</v>
      </c>
      <c r="D1688" s="14" t="s">
        <v>422</v>
      </c>
    </row>
    <row r="1689" spans="1:4" ht="19.5" customHeight="1">
      <c r="A1689" s="9"/>
      <c r="B1689" s="38" t="s">
        <v>420</v>
      </c>
      <c r="C1689" s="30" t="s">
        <v>2609</v>
      </c>
      <c r="D1689" s="14" t="s">
        <v>422</v>
      </c>
    </row>
    <row r="1690" spans="1:4" ht="19.5" customHeight="1">
      <c r="A1690" s="9"/>
      <c r="B1690" s="38" t="s">
        <v>420</v>
      </c>
      <c r="C1690" s="30" t="s">
        <v>2670</v>
      </c>
      <c r="D1690" s="14" t="s">
        <v>422</v>
      </c>
    </row>
    <row r="1691" spans="1:4" ht="19.5" customHeight="1">
      <c r="A1691" s="9"/>
      <c r="B1691" s="38" t="s">
        <v>420</v>
      </c>
      <c r="C1691" s="30" t="s">
        <v>2609</v>
      </c>
      <c r="D1691" s="14" t="s">
        <v>422</v>
      </c>
    </row>
    <row r="1692" spans="1:4" ht="19.5" customHeight="1">
      <c r="A1692" s="9"/>
      <c r="B1692" s="38" t="s">
        <v>2671</v>
      </c>
      <c r="C1692" s="34" t="s">
        <v>2608</v>
      </c>
      <c r="D1692" s="14" t="s">
        <v>2107</v>
      </c>
    </row>
    <row r="1693" spans="1:4" ht="19.5" customHeight="1">
      <c r="A1693" s="9"/>
      <c r="B1693" s="38" t="s">
        <v>2694</v>
      </c>
      <c r="C1693" s="34" t="s">
        <v>2608</v>
      </c>
      <c r="D1693" s="14" t="s">
        <v>1846</v>
      </c>
    </row>
    <row r="1694" spans="1:4" ht="19.5" customHeight="1">
      <c r="A1694" s="9"/>
      <c r="B1694" s="38" t="s">
        <v>2672</v>
      </c>
      <c r="C1694" s="34" t="s">
        <v>2608</v>
      </c>
      <c r="D1694" s="14" t="s">
        <v>2673</v>
      </c>
    </row>
    <row r="1695" spans="1:4" ht="19.5" customHeight="1">
      <c r="A1695" s="9"/>
      <c r="B1695" s="38" t="s">
        <v>2674</v>
      </c>
      <c r="C1695" s="36">
        <v>6</v>
      </c>
      <c r="D1695" s="14" t="s">
        <v>2377</v>
      </c>
    </row>
    <row r="1696" spans="1:4" ht="19.5" customHeight="1">
      <c r="A1696" s="9"/>
      <c r="B1696" s="38" t="s">
        <v>2617</v>
      </c>
      <c r="C1696" s="36">
        <v>2</v>
      </c>
      <c r="D1696" s="14" t="s">
        <v>2293</v>
      </c>
    </row>
    <row r="1697" spans="1:4" ht="19.5" customHeight="1">
      <c r="A1697" s="9"/>
      <c r="B1697" s="38" t="s">
        <v>2695</v>
      </c>
      <c r="C1697" s="36">
        <v>1</v>
      </c>
      <c r="D1697" s="14" t="s">
        <v>1111</v>
      </c>
    </row>
    <row r="1698" spans="1:4" ht="19.5" customHeight="1">
      <c r="A1698" s="9"/>
      <c r="B1698" s="38" t="s">
        <v>2675</v>
      </c>
      <c r="C1698" s="36">
        <v>6</v>
      </c>
      <c r="D1698" s="14" t="s">
        <v>1105</v>
      </c>
    </row>
    <row r="1699" spans="1:4" ht="19.5" customHeight="1">
      <c r="A1699" s="9"/>
      <c r="B1699" s="39" t="s">
        <v>2698</v>
      </c>
      <c r="C1699" s="32">
        <v>1</v>
      </c>
      <c r="D1699" s="14" t="s">
        <v>540</v>
      </c>
    </row>
    <row r="1700" spans="1:4" ht="15" customHeight="1">
      <c r="A1700" s="9"/>
      <c r="B1700" s="39" t="s">
        <v>2676</v>
      </c>
      <c r="C1700" s="32">
        <v>1</v>
      </c>
      <c r="D1700" s="14" t="s">
        <v>530</v>
      </c>
    </row>
    <row r="1701" spans="1:4" ht="15" customHeight="1">
      <c r="A1701" s="9" t="s">
        <v>1448</v>
      </c>
      <c r="B1701" s="37" t="s">
        <v>2680</v>
      </c>
      <c r="C1701" s="34" t="s">
        <v>2608</v>
      </c>
      <c r="D1701" s="14" t="s">
        <v>2232</v>
      </c>
    </row>
    <row r="1702" spans="1:4" ht="15" customHeight="1">
      <c r="A1702" s="9"/>
      <c r="B1702" s="38" t="s">
        <v>420</v>
      </c>
      <c r="C1702" s="30" t="s">
        <v>2609</v>
      </c>
      <c r="D1702" s="14" t="s">
        <v>422</v>
      </c>
    </row>
    <row r="1703" spans="1:4" ht="15" customHeight="1">
      <c r="A1703" s="9"/>
      <c r="B1703" s="38" t="s">
        <v>420</v>
      </c>
      <c r="C1703" s="30" t="s">
        <v>2609</v>
      </c>
      <c r="D1703" s="14" t="s">
        <v>422</v>
      </c>
    </row>
    <row r="1704" spans="1:4" ht="15" customHeight="1">
      <c r="A1704" s="9"/>
      <c r="B1704" s="38" t="s">
        <v>420</v>
      </c>
      <c r="C1704" s="30" t="s">
        <v>2609</v>
      </c>
      <c r="D1704" s="14" t="s">
        <v>422</v>
      </c>
    </row>
    <row r="1705" spans="1:4" ht="15" customHeight="1">
      <c r="A1705" s="9"/>
      <c r="B1705" s="38" t="s">
        <v>420</v>
      </c>
      <c r="C1705" s="30" t="s">
        <v>2670</v>
      </c>
      <c r="D1705" s="14" t="s">
        <v>422</v>
      </c>
    </row>
    <row r="1706" spans="1:4" ht="15" customHeight="1">
      <c r="A1706" s="9"/>
      <c r="B1706" s="38" t="s">
        <v>2671</v>
      </c>
      <c r="C1706" s="34" t="s">
        <v>2608</v>
      </c>
      <c r="D1706" s="14" t="s">
        <v>2107</v>
      </c>
    </row>
    <row r="1707" spans="1:4" ht="15" customHeight="1">
      <c r="A1707" s="9"/>
      <c r="B1707" s="38" t="s">
        <v>2694</v>
      </c>
      <c r="C1707" s="34" t="s">
        <v>2608</v>
      </c>
      <c r="D1707" s="14" t="s">
        <v>1846</v>
      </c>
    </row>
    <row r="1708" spans="1:4" ht="15" customHeight="1">
      <c r="A1708" s="9"/>
      <c r="B1708" s="38" t="s">
        <v>2672</v>
      </c>
      <c r="C1708" s="34" t="s">
        <v>2608</v>
      </c>
      <c r="D1708" s="14" t="s">
        <v>2673</v>
      </c>
    </row>
    <row r="1709" spans="1:4" ht="15" customHeight="1">
      <c r="A1709" s="9"/>
      <c r="B1709" s="38" t="s">
        <v>2674</v>
      </c>
      <c r="C1709" s="36">
        <v>6</v>
      </c>
      <c r="D1709" s="14" t="s">
        <v>2377</v>
      </c>
    </row>
    <row r="1710" spans="1:4" ht="15" customHeight="1">
      <c r="A1710" s="9"/>
      <c r="B1710" s="38" t="s">
        <v>2617</v>
      </c>
      <c r="C1710" s="36">
        <v>2</v>
      </c>
      <c r="D1710" s="14" t="s">
        <v>2293</v>
      </c>
    </row>
    <row r="1711" spans="1:4" ht="15" customHeight="1">
      <c r="A1711" s="9"/>
      <c r="B1711" s="38" t="s">
        <v>2695</v>
      </c>
      <c r="C1711" s="36">
        <v>1</v>
      </c>
      <c r="D1711" s="14" t="s">
        <v>1111</v>
      </c>
    </row>
    <row r="1712" spans="1:4" ht="15" customHeight="1">
      <c r="A1712" s="9"/>
      <c r="B1712" s="38" t="s">
        <v>2675</v>
      </c>
      <c r="C1712" s="36">
        <v>6</v>
      </c>
      <c r="D1712" s="14" t="s">
        <v>1105</v>
      </c>
    </row>
    <row r="1713" spans="1:4" ht="15" customHeight="1">
      <c r="A1713" s="9"/>
      <c r="B1713" s="39" t="s">
        <v>2698</v>
      </c>
      <c r="C1713" s="32">
        <v>1</v>
      </c>
      <c r="D1713" s="14" t="s">
        <v>540</v>
      </c>
    </row>
    <row r="1714" spans="1:4" ht="15" customHeight="1">
      <c r="A1714" s="9"/>
      <c r="B1714" s="39" t="s">
        <v>2676</v>
      </c>
      <c r="C1714" s="32">
        <v>1</v>
      </c>
      <c r="D1714" s="14" t="s">
        <v>530</v>
      </c>
    </row>
    <row r="1715" spans="1:4" ht="15" customHeight="1">
      <c r="A1715" s="9" t="s">
        <v>1450</v>
      </c>
      <c r="B1715" s="37" t="s">
        <v>2699</v>
      </c>
      <c r="C1715" s="34" t="s">
        <v>2608</v>
      </c>
      <c r="D1715" s="14" t="s">
        <v>2240</v>
      </c>
    </row>
    <row r="1716" spans="1:4" ht="15" customHeight="1">
      <c r="A1716" s="9"/>
      <c r="B1716" s="38" t="s">
        <v>420</v>
      </c>
      <c r="C1716" s="30" t="s">
        <v>2609</v>
      </c>
      <c r="D1716" s="14" t="s">
        <v>422</v>
      </c>
    </row>
    <row r="1717" spans="1:4" ht="15" customHeight="1">
      <c r="A1717" s="9"/>
      <c r="B1717" s="38" t="s">
        <v>420</v>
      </c>
      <c r="C1717" s="30" t="s">
        <v>2609</v>
      </c>
      <c r="D1717" s="14" t="s">
        <v>422</v>
      </c>
    </row>
    <row r="1718" spans="1:4" ht="15" customHeight="1">
      <c r="A1718" s="9"/>
      <c r="B1718" s="38" t="s">
        <v>420</v>
      </c>
      <c r="C1718" s="30" t="s">
        <v>2670</v>
      </c>
      <c r="D1718" s="14" t="s">
        <v>422</v>
      </c>
    </row>
    <row r="1719" spans="1:4" ht="15" customHeight="1">
      <c r="A1719" s="9"/>
      <c r="B1719" s="38" t="s">
        <v>420</v>
      </c>
      <c r="C1719" s="30" t="s">
        <v>2609</v>
      </c>
      <c r="D1719" s="14" t="s">
        <v>422</v>
      </c>
    </row>
    <row r="1720" spans="1:4" ht="15" customHeight="1">
      <c r="A1720" s="9"/>
      <c r="B1720" s="38" t="s">
        <v>2671</v>
      </c>
      <c r="C1720" s="34" t="s">
        <v>2608</v>
      </c>
      <c r="D1720" s="14" t="s">
        <v>2107</v>
      </c>
    </row>
    <row r="1721" spans="1:4" ht="15" customHeight="1">
      <c r="A1721" s="9"/>
      <c r="B1721" s="38" t="s">
        <v>2694</v>
      </c>
      <c r="C1721" s="34" t="s">
        <v>2608</v>
      </c>
      <c r="D1721" s="14" t="s">
        <v>1846</v>
      </c>
    </row>
    <row r="1722" spans="1:4" ht="15" customHeight="1">
      <c r="A1722" s="9"/>
      <c r="B1722" s="38" t="s">
        <v>2672</v>
      </c>
      <c r="C1722" s="34" t="s">
        <v>2608</v>
      </c>
      <c r="D1722" s="14" t="s">
        <v>2673</v>
      </c>
    </row>
    <row r="1723" spans="1:4" ht="15" customHeight="1">
      <c r="A1723" s="9"/>
      <c r="B1723" s="38" t="s">
        <v>2674</v>
      </c>
      <c r="C1723" s="36">
        <v>6</v>
      </c>
      <c r="D1723" s="14" t="s">
        <v>2377</v>
      </c>
    </row>
    <row r="1724" spans="1:4" ht="15" customHeight="1">
      <c r="A1724" s="9"/>
      <c r="B1724" s="38" t="s">
        <v>2617</v>
      </c>
      <c r="C1724" s="36">
        <v>2</v>
      </c>
      <c r="D1724" s="14" t="s">
        <v>2293</v>
      </c>
    </row>
    <row r="1725" spans="1:4" ht="15" customHeight="1">
      <c r="A1725" s="9"/>
      <c r="B1725" s="38" t="s">
        <v>2695</v>
      </c>
      <c r="C1725" s="36">
        <v>1</v>
      </c>
      <c r="D1725" s="14" t="s">
        <v>1111</v>
      </c>
    </row>
    <row r="1726" spans="1:4" ht="15" customHeight="1">
      <c r="A1726" s="9"/>
      <c r="B1726" s="38" t="s">
        <v>2675</v>
      </c>
      <c r="C1726" s="36">
        <v>6</v>
      </c>
      <c r="D1726" s="14" t="s">
        <v>1105</v>
      </c>
    </row>
    <row r="1727" spans="1:4" ht="15" customHeight="1">
      <c r="A1727" s="9"/>
      <c r="B1727" s="39" t="s">
        <v>2698</v>
      </c>
      <c r="C1727" s="32">
        <v>1</v>
      </c>
      <c r="D1727" s="14" t="s">
        <v>540</v>
      </c>
    </row>
    <row r="1728" spans="1:4" ht="15" customHeight="1">
      <c r="A1728" s="9"/>
      <c r="B1728" s="39" t="s">
        <v>2676</v>
      </c>
      <c r="C1728" s="32">
        <v>1</v>
      </c>
      <c r="D1728" s="14" t="s">
        <v>530</v>
      </c>
    </row>
    <row r="1729" spans="1:4" ht="19.5" customHeight="1">
      <c r="A1729" s="35"/>
      <c r="B1729" s="38"/>
      <c r="C1729" s="36"/>
      <c r="D1729" s="14"/>
    </row>
    <row r="1730" spans="1:4" ht="19.5" customHeight="1">
      <c r="A1730" s="9" t="s">
        <v>1452</v>
      </c>
      <c r="B1730" s="37" t="s">
        <v>2669</v>
      </c>
      <c r="C1730" s="34" t="s">
        <v>2608</v>
      </c>
      <c r="D1730" s="14" t="s">
        <v>2096</v>
      </c>
    </row>
    <row r="1731" spans="1:4" ht="19.5" customHeight="1">
      <c r="A1731" s="9"/>
      <c r="B1731" s="38" t="s">
        <v>420</v>
      </c>
      <c r="C1731" s="30" t="s">
        <v>2609</v>
      </c>
      <c r="D1731" s="14" t="s">
        <v>422</v>
      </c>
    </row>
    <row r="1732" spans="1:4" ht="19.5" customHeight="1">
      <c r="A1732" s="9"/>
      <c r="B1732" s="38" t="s">
        <v>420</v>
      </c>
      <c r="C1732" s="30" t="s">
        <v>2670</v>
      </c>
      <c r="D1732" s="14" t="s">
        <v>422</v>
      </c>
    </row>
    <row r="1733" spans="1:4" ht="19.5" customHeight="1">
      <c r="A1733" s="9"/>
      <c r="B1733" s="38" t="s">
        <v>420</v>
      </c>
      <c r="C1733" s="30" t="s">
        <v>2609</v>
      </c>
      <c r="D1733" s="14" t="s">
        <v>422</v>
      </c>
    </row>
    <row r="1734" spans="1:4" ht="19.5" customHeight="1">
      <c r="A1734" s="9"/>
      <c r="B1734" s="38" t="s">
        <v>420</v>
      </c>
      <c r="C1734" s="30" t="s">
        <v>2609</v>
      </c>
      <c r="D1734" s="14" t="s">
        <v>422</v>
      </c>
    </row>
    <row r="1735" spans="1:4" ht="19.5" customHeight="1">
      <c r="A1735" s="9"/>
      <c r="B1735" s="38" t="s">
        <v>2683</v>
      </c>
      <c r="C1735" s="34" t="s">
        <v>2608</v>
      </c>
      <c r="D1735" s="14" t="s">
        <v>2109</v>
      </c>
    </row>
    <row r="1736" spans="1:4" ht="19.5" customHeight="1">
      <c r="A1736" s="9"/>
      <c r="B1736" s="38" t="s">
        <v>2694</v>
      </c>
      <c r="C1736" s="34" t="s">
        <v>2608</v>
      </c>
      <c r="D1736" s="14" t="s">
        <v>1846</v>
      </c>
    </row>
    <row r="1737" spans="1:4" ht="19.5" customHeight="1">
      <c r="A1737" s="9"/>
      <c r="B1737" s="38" t="s">
        <v>2672</v>
      </c>
      <c r="C1737" s="34" t="s">
        <v>2608</v>
      </c>
      <c r="D1737" s="14" t="s">
        <v>2673</v>
      </c>
    </row>
    <row r="1738" spans="1:4" ht="19.5" customHeight="1">
      <c r="A1738" s="9"/>
      <c r="B1738" s="38" t="s">
        <v>2674</v>
      </c>
      <c r="C1738" s="36">
        <v>4</v>
      </c>
      <c r="D1738" s="14" t="s">
        <v>2377</v>
      </c>
    </row>
    <row r="1739" spans="1:4" ht="19.5" customHeight="1">
      <c r="A1739" s="9"/>
      <c r="B1739" s="38" t="s">
        <v>2617</v>
      </c>
      <c r="C1739" s="36">
        <v>1</v>
      </c>
      <c r="D1739" s="14" t="s">
        <v>2293</v>
      </c>
    </row>
    <row r="1740" spans="1:4" ht="19.5" customHeight="1">
      <c r="A1740" s="9"/>
      <c r="B1740" s="38" t="s">
        <v>2695</v>
      </c>
      <c r="C1740" s="36">
        <v>1</v>
      </c>
      <c r="D1740" s="14" t="s">
        <v>1111</v>
      </c>
    </row>
    <row r="1741" spans="1:4" ht="19.5" customHeight="1">
      <c r="A1741" s="9"/>
      <c r="B1741" s="38" t="s">
        <v>2675</v>
      </c>
      <c r="C1741" s="36">
        <v>4</v>
      </c>
      <c r="D1741" s="14" t="s">
        <v>1105</v>
      </c>
    </row>
    <row r="1742" spans="1:4" ht="19.5" customHeight="1">
      <c r="A1742" s="9"/>
      <c r="B1742" s="39" t="s">
        <v>2698</v>
      </c>
      <c r="C1742" s="32">
        <v>1</v>
      </c>
      <c r="D1742" s="14" t="s">
        <v>540</v>
      </c>
    </row>
    <row r="1743" spans="1:4" ht="19.5" customHeight="1">
      <c r="A1743" s="9" t="s">
        <v>1454</v>
      </c>
      <c r="B1743" s="37" t="s">
        <v>2680</v>
      </c>
      <c r="C1743" s="34" t="s">
        <v>2608</v>
      </c>
      <c r="D1743" s="14" t="s">
        <v>2232</v>
      </c>
    </row>
    <row r="1744" spans="1:4" ht="19.5" customHeight="1">
      <c r="A1744" s="9"/>
      <c r="B1744" s="38" t="s">
        <v>420</v>
      </c>
      <c r="C1744" s="30" t="s">
        <v>2609</v>
      </c>
      <c r="D1744" s="14" t="s">
        <v>422</v>
      </c>
    </row>
    <row r="1745" spans="1:4" ht="19.5" customHeight="1">
      <c r="A1745" s="9"/>
      <c r="B1745" s="38" t="s">
        <v>420</v>
      </c>
      <c r="C1745" s="30" t="s">
        <v>2670</v>
      </c>
      <c r="D1745" s="14" t="s">
        <v>422</v>
      </c>
    </row>
    <row r="1746" spans="1:4" ht="19.5" customHeight="1">
      <c r="A1746" s="9"/>
      <c r="B1746" s="38" t="s">
        <v>420</v>
      </c>
      <c r="C1746" s="30" t="s">
        <v>2609</v>
      </c>
      <c r="D1746" s="14" t="s">
        <v>422</v>
      </c>
    </row>
    <row r="1747" spans="1:4" ht="19.5" customHeight="1">
      <c r="A1747" s="9"/>
      <c r="B1747" s="38" t="s">
        <v>420</v>
      </c>
      <c r="C1747" s="30" t="s">
        <v>2609</v>
      </c>
      <c r="D1747" s="14" t="s">
        <v>422</v>
      </c>
    </row>
    <row r="1748" spans="1:4" ht="19.5" customHeight="1">
      <c r="A1748" s="9"/>
      <c r="B1748" s="38" t="s">
        <v>2683</v>
      </c>
      <c r="C1748" s="34" t="s">
        <v>2608</v>
      </c>
      <c r="D1748" s="14" t="s">
        <v>2109</v>
      </c>
    </row>
    <row r="1749" spans="1:4" ht="19.5" customHeight="1">
      <c r="A1749" s="9"/>
      <c r="B1749" s="38" t="s">
        <v>2694</v>
      </c>
      <c r="C1749" s="34" t="s">
        <v>2608</v>
      </c>
      <c r="D1749" s="14" t="s">
        <v>1846</v>
      </c>
    </row>
    <row r="1750" spans="1:4" ht="19.5" customHeight="1">
      <c r="A1750" s="9"/>
      <c r="B1750" s="38" t="s">
        <v>2672</v>
      </c>
      <c r="C1750" s="34" t="s">
        <v>2608</v>
      </c>
      <c r="D1750" s="14" t="s">
        <v>2673</v>
      </c>
    </row>
    <row r="1751" spans="1:4" ht="19.5" customHeight="1">
      <c r="A1751" s="9"/>
      <c r="B1751" s="38" t="s">
        <v>2674</v>
      </c>
      <c r="C1751" s="36">
        <v>4</v>
      </c>
      <c r="D1751" s="14" t="s">
        <v>2377</v>
      </c>
    </row>
    <row r="1752" spans="1:4" ht="19.5" customHeight="1">
      <c r="A1752" s="9"/>
      <c r="B1752" s="38" t="s">
        <v>2617</v>
      </c>
      <c r="C1752" s="36">
        <v>1</v>
      </c>
      <c r="D1752" s="14" t="s">
        <v>2293</v>
      </c>
    </row>
    <row r="1753" spans="1:4" ht="19.5" customHeight="1">
      <c r="A1753" s="9"/>
      <c r="B1753" s="38" t="s">
        <v>2695</v>
      </c>
      <c r="C1753" s="36">
        <v>1</v>
      </c>
      <c r="D1753" s="14" t="s">
        <v>1111</v>
      </c>
    </row>
    <row r="1754" spans="1:4" ht="19.5" customHeight="1">
      <c r="A1754" s="9"/>
      <c r="B1754" s="38" t="s">
        <v>2675</v>
      </c>
      <c r="C1754" s="36">
        <v>4</v>
      </c>
      <c r="D1754" s="14" t="s">
        <v>1105</v>
      </c>
    </row>
    <row r="1755" spans="1:4" ht="19.5" customHeight="1">
      <c r="A1755" s="9"/>
      <c r="B1755" s="39" t="s">
        <v>2698</v>
      </c>
      <c r="C1755" s="32">
        <v>1</v>
      </c>
      <c r="D1755" s="14" t="s">
        <v>540</v>
      </c>
    </row>
    <row r="1756" spans="1:4" ht="19.5" customHeight="1">
      <c r="A1756" s="9" t="s">
        <v>1456</v>
      </c>
      <c r="B1756" s="37" t="s">
        <v>2678</v>
      </c>
      <c r="C1756" s="34" t="s">
        <v>2608</v>
      </c>
      <c r="D1756" s="14" t="s">
        <v>2240</v>
      </c>
    </row>
    <row r="1757" spans="1:4" ht="19.5" customHeight="1">
      <c r="A1757" s="9"/>
      <c r="B1757" s="38" t="s">
        <v>420</v>
      </c>
      <c r="C1757" s="30" t="s">
        <v>2609</v>
      </c>
      <c r="D1757" s="14" t="s">
        <v>422</v>
      </c>
    </row>
    <row r="1758" spans="1:4" ht="19.5" customHeight="1">
      <c r="A1758" s="9"/>
      <c r="B1758" s="38" t="s">
        <v>420</v>
      </c>
      <c r="C1758" s="30" t="s">
        <v>2670</v>
      </c>
      <c r="D1758" s="14" t="s">
        <v>422</v>
      </c>
    </row>
    <row r="1759" spans="1:4" ht="19.5" customHeight="1">
      <c r="A1759" s="9"/>
      <c r="B1759" s="38" t="s">
        <v>420</v>
      </c>
      <c r="C1759" s="30" t="s">
        <v>2609</v>
      </c>
      <c r="D1759" s="14" t="s">
        <v>422</v>
      </c>
    </row>
    <row r="1760" spans="1:4" ht="19.5" customHeight="1">
      <c r="A1760" s="9"/>
      <c r="B1760" s="38" t="s">
        <v>420</v>
      </c>
      <c r="C1760" s="30" t="s">
        <v>2609</v>
      </c>
      <c r="D1760" s="14" t="s">
        <v>422</v>
      </c>
    </row>
    <row r="1761" spans="1:4" ht="19.5" customHeight="1">
      <c r="A1761" s="9"/>
      <c r="B1761" s="38" t="s">
        <v>2683</v>
      </c>
      <c r="C1761" s="34" t="s">
        <v>2608</v>
      </c>
      <c r="D1761" s="14" t="s">
        <v>2109</v>
      </c>
    </row>
    <row r="1762" spans="1:4" ht="19.5" customHeight="1">
      <c r="A1762" s="9"/>
      <c r="B1762" s="38" t="s">
        <v>2694</v>
      </c>
      <c r="C1762" s="34" t="s">
        <v>2608</v>
      </c>
      <c r="D1762" s="14" t="s">
        <v>1846</v>
      </c>
    </row>
    <row r="1763" spans="1:4" ht="19.5" customHeight="1">
      <c r="A1763" s="9"/>
      <c r="B1763" s="38" t="s">
        <v>2672</v>
      </c>
      <c r="C1763" s="34" t="s">
        <v>2608</v>
      </c>
      <c r="D1763" s="14" t="s">
        <v>2673</v>
      </c>
    </row>
    <row r="1764" spans="1:4" ht="19.5" customHeight="1">
      <c r="A1764" s="9"/>
      <c r="B1764" s="38" t="s">
        <v>2674</v>
      </c>
      <c r="C1764" s="36">
        <v>4</v>
      </c>
      <c r="D1764" s="14" t="s">
        <v>2377</v>
      </c>
    </row>
    <row r="1765" spans="1:4" ht="15" customHeight="1">
      <c r="A1765" s="9"/>
      <c r="B1765" s="38" t="s">
        <v>2617</v>
      </c>
      <c r="C1765" s="36">
        <v>1</v>
      </c>
      <c r="D1765" s="14" t="s">
        <v>2293</v>
      </c>
    </row>
    <row r="1766" spans="1:4" ht="15" customHeight="1">
      <c r="A1766" s="9"/>
      <c r="B1766" s="38" t="s">
        <v>2695</v>
      </c>
      <c r="C1766" s="36">
        <v>1</v>
      </c>
      <c r="D1766" s="14" t="s">
        <v>1111</v>
      </c>
    </row>
    <row r="1767" spans="1:4" ht="15" customHeight="1">
      <c r="A1767" s="9"/>
      <c r="B1767" s="38" t="s">
        <v>2675</v>
      </c>
      <c r="C1767" s="36">
        <v>4</v>
      </c>
      <c r="D1767" s="14" t="s">
        <v>1105</v>
      </c>
    </row>
    <row r="1768" spans="1:4" ht="15" customHeight="1">
      <c r="A1768" s="9"/>
      <c r="B1768" s="39" t="s">
        <v>2698</v>
      </c>
      <c r="C1768" s="32">
        <v>1</v>
      </c>
      <c r="D1768" s="14" t="s">
        <v>540</v>
      </c>
    </row>
    <row r="1769" spans="1:4" ht="19.5" customHeight="1">
      <c r="A1769" s="35"/>
      <c r="B1769" s="38"/>
      <c r="C1769" s="36"/>
      <c r="D1769" s="14"/>
    </row>
    <row r="1770" spans="1:4" ht="19.5" customHeight="1">
      <c r="A1770" s="35"/>
      <c r="B1770" s="38"/>
      <c r="C1770" s="36"/>
      <c r="D1770" s="14"/>
    </row>
    <row r="1771" spans="1:4" ht="19.5" customHeight="1">
      <c r="A1771" s="9" t="s">
        <v>1458</v>
      </c>
      <c r="B1771" s="37" t="s">
        <v>2669</v>
      </c>
      <c r="C1771" s="34" t="s">
        <v>2608</v>
      </c>
      <c r="D1771" s="14" t="s">
        <v>2096</v>
      </c>
    </row>
    <row r="1772" spans="1:4" ht="19.5" customHeight="1">
      <c r="A1772" s="9"/>
      <c r="B1772" s="38" t="s">
        <v>420</v>
      </c>
      <c r="C1772" s="30" t="s">
        <v>2609</v>
      </c>
      <c r="D1772" s="14" t="s">
        <v>422</v>
      </c>
    </row>
    <row r="1773" spans="1:4" ht="19.5" customHeight="1">
      <c r="A1773" s="9"/>
      <c r="B1773" s="38" t="s">
        <v>420</v>
      </c>
      <c r="C1773" s="30" t="s">
        <v>2609</v>
      </c>
      <c r="D1773" s="14" t="s">
        <v>422</v>
      </c>
    </row>
    <row r="1774" spans="1:4" ht="19.5" customHeight="1">
      <c r="A1774" s="9"/>
      <c r="B1774" s="38" t="s">
        <v>420</v>
      </c>
      <c r="C1774" s="30" t="s">
        <v>2609</v>
      </c>
      <c r="D1774" s="14" t="s">
        <v>422</v>
      </c>
    </row>
    <row r="1775" spans="1:4" ht="19.5" customHeight="1">
      <c r="A1775" s="9"/>
      <c r="B1775" s="38" t="s">
        <v>420</v>
      </c>
      <c r="C1775" s="30" t="s">
        <v>2670</v>
      </c>
      <c r="D1775" s="14" t="s">
        <v>422</v>
      </c>
    </row>
    <row r="1776" spans="1:4" ht="19.5" customHeight="1">
      <c r="A1776" s="9"/>
      <c r="B1776" s="38" t="s">
        <v>2683</v>
      </c>
      <c r="C1776" s="34" t="s">
        <v>2608</v>
      </c>
      <c r="D1776" s="14" t="s">
        <v>2109</v>
      </c>
    </row>
    <row r="1777" spans="1:4" ht="19.5" customHeight="1">
      <c r="A1777" s="9"/>
      <c r="B1777" s="38" t="s">
        <v>2694</v>
      </c>
      <c r="C1777" s="34" t="s">
        <v>2608</v>
      </c>
      <c r="D1777" s="14" t="s">
        <v>1846</v>
      </c>
    </row>
    <row r="1778" spans="1:4" ht="19.5" customHeight="1">
      <c r="A1778" s="9"/>
      <c r="B1778" s="38" t="s">
        <v>2672</v>
      </c>
      <c r="C1778" s="34" t="s">
        <v>2608</v>
      </c>
      <c r="D1778" s="14" t="s">
        <v>2673</v>
      </c>
    </row>
    <row r="1779" spans="1:4" ht="19.5" customHeight="1">
      <c r="A1779" s="9"/>
      <c r="B1779" s="38" t="s">
        <v>2674</v>
      </c>
      <c r="C1779" s="36">
        <v>6</v>
      </c>
      <c r="D1779" s="14" t="s">
        <v>2377</v>
      </c>
    </row>
    <row r="1780" spans="1:4" ht="19.5" customHeight="1">
      <c r="A1780" s="9"/>
      <c r="B1780" s="38" t="s">
        <v>2617</v>
      </c>
      <c r="C1780" s="36">
        <v>2</v>
      </c>
      <c r="D1780" s="14" t="s">
        <v>2293</v>
      </c>
    </row>
    <row r="1781" spans="1:4" ht="19.5" customHeight="1">
      <c r="A1781" s="9"/>
      <c r="B1781" s="38" t="s">
        <v>2695</v>
      </c>
      <c r="C1781" s="36">
        <v>1</v>
      </c>
      <c r="D1781" s="14" t="s">
        <v>1111</v>
      </c>
    </row>
    <row r="1782" spans="1:4" ht="19.5" customHeight="1">
      <c r="A1782" s="9"/>
      <c r="B1782" s="38" t="s">
        <v>2675</v>
      </c>
      <c r="C1782" s="36">
        <v>6</v>
      </c>
      <c r="D1782" s="14" t="s">
        <v>1105</v>
      </c>
    </row>
    <row r="1783" spans="1:4" ht="19.5" customHeight="1">
      <c r="A1783" s="9"/>
      <c r="B1783" s="38" t="s">
        <v>2700</v>
      </c>
      <c r="C1783" s="36">
        <v>1</v>
      </c>
      <c r="D1783" s="14" t="s">
        <v>530</v>
      </c>
    </row>
    <row r="1784" spans="1:4" ht="19.5" customHeight="1">
      <c r="A1784" s="9"/>
      <c r="B1784" s="39" t="s">
        <v>2698</v>
      </c>
      <c r="C1784" s="32">
        <v>1</v>
      </c>
      <c r="D1784" s="14" t="s">
        <v>540</v>
      </c>
    </row>
    <row r="1785" spans="1:4" ht="15" customHeight="1">
      <c r="A1785" s="9" t="s">
        <v>1460</v>
      </c>
      <c r="B1785" s="37" t="s">
        <v>2680</v>
      </c>
      <c r="C1785" s="34" t="s">
        <v>2608</v>
      </c>
      <c r="D1785" s="14" t="s">
        <v>2232</v>
      </c>
    </row>
    <row r="1786" spans="1:4" ht="15" customHeight="1">
      <c r="A1786" s="9"/>
      <c r="B1786" s="38" t="s">
        <v>420</v>
      </c>
      <c r="C1786" s="30" t="s">
        <v>2609</v>
      </c>
      <c r="D1786" s="14" t="s">
        <v>422</v>
      </c>
    </row>
    <row r="1787" spans="1:4" ht="15" customHeight="1">
      <c r="A1787" s="9"/>
      <c r="B1787" s="38" t="s">
        <v>420</v>
      </c>
      <c r="C1787" s="30" t="s">
        <v>2609</v>
      </c>
      <c r="D1787" s="14" t="s">
        <v>422</v>
      </c>
    </row>
    <row r="1788" spans="1:4" ht="15" customHeight="1">
      <c r="A1788" s="9"/>
      <c r="B1788" s="38" t="s">
        <v>420</v>
      </c>
      <c r="C1788" s="30" t="s">
        <v>2609</v>
      </c>
      <c r="D1788" s="14" t="s">
        <v>422</v>
      </c>
    </row>
    <row r="1789" spans="1:4" ht="19.5" customHeight="1">
      <c r="A1789" s="9"/>
      <c r="B1789" s="38" t="s">
        <v>420</v>
      </c>
      <c r="C1789" s="30" t="s">
        <v>2670</v>
      </c>
      <c r="D1789" s="14" t="s">
        <v>422</v>
      </c>
    </row>
    <row r="1790" spans="1:4" ht="15" customHeight="1">
      <c r="A1790" s="9"/>
      <c r="B1790" s="38" t="s">
        <v>2683</v>
      </c>
      <c r="C1790" s="34" t="s">
        <v>2608</v>
      </c>
      <c r="D1790" s="14" t="s">
        <v>2109</v>
      </c>
    </row>
    <row r="1791" spans="1:4" ht="15" customHeight="1">
      <c r="A1791" s="9"/>
      <c r="B1791" s="38" t="s">
        <v>2694</v>
      </c>
      <c r="C1791" s="34" t="s">
        <v>2608</v>
      </c>
      <c r="D1791" s="14" t="s">
        <v>1846</v>
      </c>
    </row>
    <row r="1792" spans="1:4" ht="15" customHeight="1">
      <c r="A1792" s="9"/>
      <c r="B1792" s="38" t="s">
        <v>2672</v>
      </c>
      <c r="C1792" s="34" t="s">
        <v>2608</v>
      </c>
      <c r="D1792" s="14" t="s">
        <v>2673</v>
      </c>
    </row>
    <row r="1793" spans="1:4" ht="15" customHeight="1">
      <c r="A1793" s="9"/>
      <c r="B1793" s="38" t="s">
        <v>2674</v>
      </c>
      <c r="C1793" s="36">
        <v>6</v>
      </c>
      <c r="D1793" s="14" t="s">
        <v>2377</v>
      </c>
    </row>
    <row r="1794" spans="1:4" ht="15" customHeight="1">
      <c r="A1794" s="9"/>
      <c r="B1794" s="38" t="s">
        <v>2617</v>
      </c>
      <c r="C1794" s="36">
        <v>2</v>
      </c>
      <c r="D1794" s="14" t="s">
        <v>2293</v>
      </c>
    </row>
    <row r="1795" spans="1:4" ht="15" customHeight="1">
      <c r="A1795" s="9"/>
      <c r="B1795" s="38" t="s">
        <v>2695</v>
      </c>
      <c r="C1795" s="36">
        <v>1</v>
      </c>
      <c r="D1795" s="14" t="s">
        <v>1111</v>
      </c>
    </row>
    <row r="1796" spans="1:4" ht="15" customHeight="1">
      <c r="A1796" s="9"/>
      <c r="B1796" s="38" t="s">
        <v>2675</v>
      </c>
      <c r="C1796" s="36">
        <v>6</v>
      </c>
      <c r="D1796" s="14" t="s">
        <v>1105</v>
      </c>
    </row>
    <row r="1797" spans="1:4" ht="15" customHeight="1">
      <c r="A1797" s="9"/>
      <c r="B1797" s="38" t="s">
        <v>2700</v>
      </c>
      <c r="C1797" s="36">
        <v>1</v>
      </c>
      <c r="D1797" s="14" t="s">
        <v>530</v>
      </c>
    </row>
    <row r="1798" spans="1:4" ht="15" customHeight="1">
      <c r="A1798" s="9"/>
      <c r="B1798" s="39" t="s">
        <v>2698</v>
      </c>
      <c r="C1798" s="32">
        <v>1</v>
      </c>
      <c r="D1798" s="14" t="s">
        <v>540</v>
      </c>
    </row>
    <row r="1799" spans="1:4" ht="15" customHeight="1">
      <c r="A1799" s="9" t="s">
        <v>1462</v>
      </c>
      <c r="B1799" s="37" t="s">
        <v>2678</v>
      </c>
      <c r="C1799" s="34" t="s">
        <v>2608</v>
      </c>
      <c r="D1799" s="14" t="s">
        <v>2240</v>
      </c>
    </row>
    <row r="1800" spans="1:4" ht="15" customHeight="1">
      <c r="A1800" s="9"/>
      <c r="B1800" s="38" t="s">
        <v>420</v>
      </c>
      <c r="C1800" s="30" t="s">
        <v>2609</v>
      </c>
      <c r="D1800" s="14" t="s">
        <v>422</v>
      </c>
    </row>
    <row r="1801" spans="1:4" ht="15" customHeight="1">
      <c r="A1801" s="9"/>
      <c r="B1801" s="38" t="s">
        <v>420</v>
      </c>
      <c r="C1801" s="30" t="s">
        <v>2609</v>
      </c>
      <c r="D1801" s="14" t="s">
        <v>422</v>
      </c>
    </row>
    <row r="1802" spans="1:4" ht="19.5" customHeight="1">
      <c r="A1802" s="9"/>
      <c r="B1802" s="38" t="s">
        <v>420</v>
      </c>
      <c r="C1802" s="30" t="s">
        <v>2670</v>
      </c>
      <c r="D1802" s="14" t="s">
        <v>422</v>
      </c>
    </row>
    <row r="1803" spans="1:4" ht="15" customHeight="1">
      <c r="A1803" s="9"/>
      <c r="B1803" s="38" t="s">
        <v>420</v>
      </c>
      <c r="C1803" s="30" t="s">
        <v>2609</v>
      </c>
      <c r="D1803" s="14" t="s">
        <v>422</v>
      </c>
    </row>
    <row r="1804" spans="1:4" ht="15" customHeight="1">
      <c r="A1804" s="9"/>
      <c r="B1804" s="38" t="s">
        <v>2683</v>
      </c>
      <c r="C1804" s="34" t="s">
        <v>2608</v>
      </c>
      <c r="D1804" s="14" t="s">
        <v>2109</v>
      </c>
    </row>
    <row r="1805" spans="1:4" ht="15" customHeight="1">
      <c r="A1805" s="9"/>
      <c r="B1805" s="38" t="s">
        <v>2694</v>
      </c>
      <c r="C1805" s="34" t="s">
        <v>2608</v>
      </c>
      <c r="D1805" s="14" t="s">
        <v>1846</v>
      </c>
    </row>
    <row r="1806" spans="1:4" ht="15" customHeight="1">
      <c r="A1806" s="9"/>
      <c r="B1806" s="38" t="s">
        <v>2672</v>
      </c>
      <c r="C1806" s="34" t="s">
        <v>2608</v>
      </c>
      <c r="D1806" s="14" t="s">
        <v>2673</v>
      </c>
    </row>
    <row r="1807" spans="1:4" ht="19.5" customHeight="1">
      <c r="A1807" s="9"/>
      <c r="B1807" s="38" t="s">
        <v>2674</v>
      </c>
      <c r="C1807" s="36">
        <v>6</v>
      </c>
      <c r="D1807" s="14" t="s">
        <v>2377</v>
      </c>
    </row>
    <row r="1808" spans="1:4" ht="19.5" customHeight="1">
      <c r="A1808" s="9"/>
      <c r="B1808" s="38" t="s">
        <v>2617</v>
      </c>
      <c r="C1808" s="36">
        <v>2</v>
      </c>
      <c r="D1808" s="14" t="s">
        <v>2293</v>
      </c>
    </row>
    <row r="1809" spans="1:4" ht="19.5" customHeight="1">
      <c r="A1809" s="9"/>
      <c r="B1809" s="38" t="s">
        <v>2695</v>
      </c>
      <c r="C1809" s="36">
        <v>1</v>
      </c>
      <c r="D1809" s="14" t="s">
        <v>1111</v>
      </c>
    </row>
    <row r="1810" spans="1:4" ht="19.5" customHeight="1">
      <c r="A1810" s="9"/>
      <c r="B1810" s="38" t="s">
        <v>2675</v>
      </c>
      <c r="C1810" s="36">
        <v>6</v>
      </c>
      <c r="D1810" s="14" t="s">
        <v>1105</v>
      </c>
    </row>
    <row r="1811" spans="1:4" ht="14.25" customHeight="1">
      <c r="A1811" s="9"/>
      <c r="B1811" s="38" t="s">
        <v>2700</v>
      </c>
      <c r="C1811" s="36">
        <v>1</v>
      </c>
      <c r="D1811" s="14" t="s">
        <v>530</v>
      </c>
    </row>
    <row r="1812" spans="1:4" ht="19.5" customHeight="1">
      <c r="A1812" s="9"/>
      <c r="B1812" s="39" t="s">
        <v>2698</v>
      </c>
      <c r="C1812" s="32">
        <v>1</v>
      </c>
      <c r="D1812" s="14" t="s">
        <v>540</v>
      </c>
    </row>
    <row r="1813" spans="1:4" ht="19.5" customHeight="1">
      <c r="A1813" s="35"/>
      <c r="B1813" s="38"/>
      <c r="C1813" s="36"/>
      <c r="D1813" s="14"/>
    </row>
    <row r="1814" spans="1:4" ht="19.5" customHeight="1">
      <c r="A1814" s="9" t="s">
        <v>1464</v>
      </c>
      <c r="B1814" s="37" t="s">
        <v>2669</v>
      </c>
      <c r="C1814" s="34" t="s">
        <v>2608</v>
      </c>
      <c r="D1814" s="14" t="s">
        <v>2096</v>
      </c>
    </row>
    <row r="1815" spans="1:4" ht="19.5" customHeight="1">
      <c r="A1815" s="9"/>
      <c r="B1815" s="38" t="s">
        <v>420</v>
      </c>
      <c r="C1815" s="30" t="s">
        <v>2609</v>
      </c>
      <c r="D1815" s="14" t="s">
        <v>422</v>
      </c>
    </row>
    <row r="1816" spans="1:4" ht="19.5" customHeight="1">
      <c r="A1816" s="9"/>
      <c r="B1816" s="38" t="s">
        <v>420</v>
      </c>
      <c r="C1816" s="30" t="s">
        <v>2670</v>
      </c>
      <c r="D1816" s="14" t="s">
        <v>422</v>
      </c>
    </row>
    <row r="1817" spans="1:4" ht="19.5" customHeight="1">
      <c r="A1817" s="9"/>
      <c r="B1817" s="38" t="s">
        <v>420</v>
      </c>
      <c r="C1817" s="30" t="s">
        <v>2609</v>
      </c>
      <c r="D1817" s="14" t="s">
        <v>422</v>
      </c>
    </row>
    <row r="1818" spans="1:4" ht="19.5" customHeight="1">
      <c r="A1818" s="9"/>
      <c r="B1818" s="38" t="s">
        <v>420</v>
      </c>
      <c r="C1818" s="30" t="s">
        <v>2609</v>
      </c>
      <c r="D1818" s="14" t="s">
        <v>422</v>
      </c>
    </row>
    <row r="1819" spans="1:4" ht="19.5" customHeight="1">
      <c r="A1819" s="9"/>
      <c r="B1819" s="38" t="s">
        <v>420</v>
      </c>
      <c r="C1819" s="30" t="s">
        <v>2609</v>
      </c>
      <c r="D1819" s="14" t="s">
        <v>422</v>
      </c>
    </row>
    <row r="1820" spans="1:4" ht="19.5" customHeight="1">
      <c r="A1820" s="9"/>
      <c r="B1820" s="38" t="s">
        <v>2671</v>
      </c>
      <c r="C1820" s="34" t="s">
        <v>2608</v>
      </c>
      <c r="D1820" s="14" t="s">
        <v>2107</v>
      </c>
    </row>
    <row r="1821" spans="1:4" ht="19.5" customHeight="1">
      <c r="A1821" s="9"/>
      <c r="B1821" s="38" t="s">
        <v>2685</v>
      </c>
      <c r="C1821" s="34" t="s">
        <v>2608</v>
      </c>
      <c r="D1821" s="14" t="s">
        <v>438</v>
      </c>
    </row>
    <row r="1822" spans="1:4" ht="19.5" customHeight="1">
      <c r="A1822" s="9"/>
      <c r="B1822" s="38" t="s">
        <v>2694</v>
      </c>
      <c r="C1822" s="34" t="s">
        <v>2608</v>
      </c>
      <c r="D1822" s="14" t="s">
        <v>1846</v>
      </c>
    </row>
    <row r="1823" spans="1:4" ht="19.5" customHeight="1">
      <c r="A1823" s="9"/>
      <c r="B1823" s="38" t="s">
        <v>2672</v>
      </c>
      <c r="C1823" s="34" t="s">
        <v>2608</v>
      </c>
      <c r="D1823" s="14" t="s">
        <v>2673</v>
      </c>
    </row>
    <row r="1824" spans="1:4" ht="19.5" customHeight="1">
      <c r="A1824" s="9"/>
      <c r="B1824" s="38" t="s">
        <v>2674</v>
      </c>
      <c r="C1824" s="36">
        <v>8</v>
      </c>
      <c r="D1824" s="14" t="s">
        <v>2377</v>
      </c>
    </row>
    <row r="1825" spans="1:4" ht="19.5" customHeight="1">
      <c r="A1825" s="9"/>
      <c r="B1825" s="38" t="s">
        <v>2617</v>
      </c>
      <c r="C1825" s="36">
        <v>1</v>
      </c>
      <c r="D1825" s="14" t="s">
        <v>2293</v>
      </c>
    </row>
    <row r="1826" spans="1:4" ht="19.5" customHeight="1">
      <c r="A1826" s="9"/>
      <c r="B1826" s="38" t="s">
        <v>2686</v>
      </c>
      <c r="C1826" s="36">
        <v>1</v>
      </c>
      <c r="D1826" s="14" t="s">
        <v>2587</v>
      </c>
    </row>
    <row r="1827" spans="1:4" ht="17.25" customHeight="1">
      <c r="A1827" s="9"/>
      <c r="B1827" s="38" t="s">
        <v>2695</v>
      </c>
      <c r="C1827" s="36">
        <v>2</v>
      </c>
      <c r="D1827" s="14" t="s">
        <v>1111</v>
      </c>
    </row>
    <row r="1828" spans="1:4" ht="17.25" customHeight="1">
      <c r="A1828" s="9"/>
      <c r="B1828" s="38" t="s">
        <v>2687</v>
      </c>
      <c r="C1828" s="36">
        <v>4</v>
      </c>
      <c r="D1828" s="14" t="s">
        <v>1103</v>
      </c>
    </row>
    <row r="1829" spans="1:4" ht="19.5" customHeight="1">
      <c r="A1829" s="9"/>
      <c r="B1829" s="38" t="s">
        <v>2688</v>
      </c>
      <c r="C1829" s="36">
        <v>2</v>
      </c>
      <c r="D1829" s="14" t="s">
        <v>1119</v>
      </c>
    </row>
    <row r="1830" spans="1:4" ht="15" customHeight="1">
      <c r="A1830" s="9"/>
      <c r="B1830" s="38" t="s">
        <v>2689</v>
      </c>
      <c r="C1830" s="36">
        <v>2</v>
      </c>
      <c r="D1830" s="14" t="s">
        <v>1117</v>
      </c>
    </row>
    <row r="1831" spans="1:4" ht="15" customHeight="1">
      <c r="A1831" s="9"/>
      <c r="B1831" s="39" t="s">
        <v>2698</v>
      </c>
      <c r="C1831" s="32">
        <v>1</v>
      </c>
      <c r="D1831" s="14" t="s">
        <v>540</v>
      </c>
    </row>
    <row r="1832" spans="1:4" ht="15" customHeight="1">
      <c r="A1832" s="9" t="s">
        <v>1466</v>
      </c>
      <c r="B1832" s="37" t="s">
        <v>2680</v>
      </c>
      <c r="C1832" s="34" t="s">
        <v>2608</v>
      </c>
      <c r="D1832" s="14" t="s">
        <v>2232</v>
      </c>
    </row>
    <row r="1833" spans="1:4" ht="15" customHeight="1">
      <c r="A1833" s="9"/>
      <c r="B1833" s="38" t="s">
        <v>420</v>
      </c>
      <c r="C1833" s="30" t="s">
        <v>2609</v>
      </c>
      <c r="D1833" s="14" t="s">
        <v>422</v>
      </c>
    </row>
    <row r="1834" spans="1:4" ht="15" customHeight="1">
      <c r="A1834" s="9"/>
      <c r="B1834" s="38" t="s">
        <v>420</v>
      </c>
      <c r="C1834" s="30" t="s">
        <v>2609</v>
      </c>
      <c r="D1834" s="14" t="s">
        <v>422</v>
      </c>
    </row>
    <row r="1835" spans="1:4" ht="19.5" customHeight="1">
      <c r="A1835" s="9"/>
      <c r="B1835" s="38" t="s">
        <v>420</v>
      </c>
      <c r="C1835" s="30" t="s">
        <v>2609</v>
      </c>
      <c r="D1835" s="14" t="s">
        <v>422</v>
      </c>
    </row>
    <row r="1836" spans="1:4" ht="19.5" customHeight="1">
      <c r="A1836" s="9"/>
      <c r="B1836" s="38" t="s">
        <v>420</v>
      </c>
      <c r="C1836" s="30" t="s">
        <v>2670</v>
      </c>
      <c r="D1836" s="14" t="s">
        <v>422</v>
      </c>
    </row>
    <row r="1837" spans="1:4" ht="19.5" customHeight="1">
      <c r="A1837" s="9"/>
      <c r="B1837" s="38" t="s">
        <v>420</v>
      </c>
      <c r="C1837" s="30" t="s">
        <v>2609</v>
      </c>
      <c r="D1837" s="14" t="s">
        <v>422</v>
      </c>
    </row>
    <row r="1838" spans="1:4" ht="15" customHeight="1">
      <c r="A1838" s="9"/>
      <c r="B1838" s="38" t="s">
        <v>2671</v>
      </c>
      <c r="C1838" s="34" t="s">
        <v>2608</v>
      </c>
      <c r="D1838" s="14" t="s">
        <v>2107</v>
      </c>
    </row>
    <row r="1839" spans="1:4" ht="15" customHeight="1">
      <c r="A1839" s="9"/>
      <c r="B1839" s="38" t="s">
        <v>2694</v>
      </c>
      <c r="C1839" s="34" t="s">
        <v>2608</v>
      </c>
      <c r="D1839" s="14" t="s">
        <v>1846</v>
      </c>
    </row>
    <row r="1840" spans="1:4" ht="15" customHeight="1">
      <c r="A1840" s="9"/>
      <c r="B1840" s="38" t="s">
        <v>2685</v>
      </c>
      <c r="C1840" s="34" t="s">
        <v>2608</v>
      </c>
      <c r="D1840" s="14" t="s">
        <v>438</v>
      </c>
    </row>
    <row r="1841" spans="1:4" ht="15" customHeight="1">
      <c r="A1841" s="9"/>
      <c r="B1841" s="38" t="s">
        <v>2672</v>
      </c>
      <c r="C1841" s="34" t="s">
        <v>2608</v>
      </c>
      <c r="D1841" s="14" t="s">
        <v>2673</v>
      </c>
    </row>
    <row r="1842" spans="1:4" ht="19.5" customHeight="1">
      <c r="A1842" s="9"/>
      <c r="B1842" s="38" t="s">
        <v>2674</v>
      </c>
      <c r="C1842" s="36">
        <v>8</v>
      </c>
      <c r="D1842" s="14" t="s">
        <v>2377</v>
      </c>
    </row>
    <row r="1843" spans="1:4" ht="19.5" customHeight="1">
      <c r="A1843" s="9"/>
      <c r="B1843" s="38" t="s">
        <v>2617</v>
      </c>
      <c r="C1843" s="36">
        <v>1</v>
      </c>
      <c r="D1843" s="14" t="s">
        <v>2293</v>
      </c>
    </row>
    <row r="1844" spans="1:4" ht="15" customHeight="1">
      <c r="A1844" s="9"/>
      <c r="B1844" s="38" t="s">
        <v>2686</v>
      </c>
      <c r="C1844" s="36">
        <v>1</v>
      </c>
      <c r="D1844" s="14" t="s">
        <v>2587</v>
      </c>
    </row>
    <row r="1845" spans="1:4" ht="15" customHeight="1">
      <c r="A1845" s="9"/>
      <c r="B1845" s="38" t="s">
        <v>2695</v>
      </c>
      <c r="C1845" s="36">
        <v>2</v>
      </c>
      <c r="D1845" s="14" t="s">
        <v>1111</v>
      </c>
    </row>
    <row r="1846" spans="1:4" ht="15" customHeight="1">
      <c r="A1846" s="9"/>
      <c r="B1846" s="38" t="s">
        <v>2687</v>
      </c>
      <c r="C1846" s="36">
        <v>4</v>
      </c>
      <c r="D1846" s="14" t="s">
        <v>1103</v>
      </c>
    </row>
    <row r="1847" spans="1:4" ht="15" customHeight="1">
      <c r="A1847" s="9"/>
      <c r="B1847" s="38" t="s">
        <v>2688</v>
      </c>
      <c r="C1847" s="36">
        <v>2</v>
      </c>
      <c r="D1847" s="14" t="s">
        <v>1119</v>
      </c>
    </row>
    <row r="1848" spans="1:4" ht="15" customHeight="1">
      <c r="A1848" s="9"/>
      <c r="B1848" s="38" t="s">
        <v>2689</v>
      </c>
      <c r="C1848" s="36">
        <v>2</v>
      </c>
      <c r="D1848" s="14" t="s">
        <v>1117</v>
      </c>
    </row>
    <row r="1849" spans="1:4" ht="15" customHeight="1">
      <c r="A1849" s="9"/>
      <c r="B1849" s="39" t="s">
        <v>2698</v>
      </c>
      <c r="C1849" s="32">
        <v>1</v>
      </c>
      <c r="D1849" s="14" t="s">
        <v>540</v>
      </c>
    </row>
    <row r="1850" spans="1:4" ht="15" customHeight="1">
      <c r="A1850" s="35"/>
      <c r="B1850" s="38"/>
      <c r="C1850" s="36"/>
      <c r="D1850" s="14"/>
    </row>
    <row r="1851" spans="1:4" ht="15" customHeight="1">
      <c r="A1851" s="35"/>
      <c r="B1851" s="38"/>
      <c r="C1851" s="36"/>
      <c r="D1851" s="14"/>
    </row>
    <row r="1852" spans="1:4" ht="15" customHeight="1">
      <c r="A1852" s="35"/>
      <c r="B1852" s="38"/>
      <c r="C1852" s="36"/>
      <c r="D1852" s="14"/>
    </row>
    <row r="1853" spans="1:4" ht="15" customHeight="1">
      <c r="A1853" s="35"/>
      <c r="B1853" s="38"/>
      <c r="C1853" s="36"/>
      <c r="D1853" s="14"/>
    </row>
    <row r="1854" spans="1:4" ht="15" customHeight="1">
      <c r="A1854" s="35"/>
      <c r="B1854" s="38"/>
      <c r="C1854" s="36"/>
      <c r="D1854" s="14"/>
    </row>
    <row r="1855" spans="1:4" ht="15" customHeight="1">
      <c r="A1855" s="35"/>
      <c r="B1855" s="38"/>
      <c r="C1855" s="36"/>
      <c r="D1855" s="14"/>
    </row>
    <row r="1856" spans="1:4" ht="15" customHeight="1">
      <c r="A1856" s="35"/>
      <c r="B1856" s="38"/>
      <c r="C1856" s="36"/>
      <c r="D1856" s="14"/>
    </row>
    <row r="1857" spans="1:4" ht="15" customHeight="1">
      <c r="A1857" s="35"/>
      <c r="B1857" s="38"/>
      <c r="C1857" s="36"/>
      <c r="D1857" s="14"/>
    </row>
    <row r="1858" spans="1:4" ht="15" customHeight="1">
      <c r="A1858" s="9" t="s">
        <v>1468</v>
      </c>
      <c r="B1858" s="37" t="s">
        <v>2701</v>
      </c>
      <c r="C1858" s="34" t="s">
        <v>2608</v>
      </c>
      <c r="D1858" s="14" t="s">
        <v>2240</v>
      </c>
    </row>
    <row r="1859" spans="1:4" ht="15" customHeight="1">
      <c r="A1859" s="9"/>
      <c r="B1859" s="38" t="s">
        <v>420</v>
      </c>
      <c r="C1859" s="30" t="s">
        <v>2609</v>
      </c>
      <c r="D1859" s="14" t="s">
        <v>422</v>
      </c>
    </row>
    <row r="1860" spans="1:4" ht="19.5" customHeight="1">
      <c r="A1860" s="9"/>
      <c r="B1860" s="38" t="s">
        <v>420</v>
      </c>
      <c r="C1860" s="30" t="s">
        <v>2670</v>
      </c>
      <c r="D1860" s="14" t="s">
        <v>422</v>
      </c>
    </row>
    <row r="1861" spans="1:4" ht="15" customHeight="1">
      <c r="A1861" s="9"/>
      <c r="B1861" s="38" t="s">
        <v>420</v>
      </c>
      <c r="C1861" s="30" t="s">
        <v>2609</v>
      </c>
      <c r="D1861" s="14" t="s">
        <v>422</v>
      </c>
    </row>
    <row r="1862" spans="1:4" ht="19.5" customHeight="1">
      <c r="A1862" s="9"/>
      <c r="B1862" s="38" t="s">
        <v>420</v>
      </c>
      <c r="C1862" s="30" t="s">
        <v>2609</v>
      </c>
      <c r="D1862" s="14" t="s">
        <v>422</v>
      </c>
    </row>
    <row r="1863" spans="1:4" ht="15" customHeight="1">
      <c r="A1863" s="9"/>
      <c r="B1863" s="38" t="s">
        <v>2671</v>
      </c>
      <c r="C1863" s="34" t="s">
        <v>2608</v>
      </c>
      <c r="D1863" s="14" t="s">
        <v>2107</v>
      </c>
    </row>
    <row r="1864" spans="1:4" ht="15" customHeight="1">
      <c r="A1864" s="9"/>
      <c r="B1864" s="38" t="s">
        <v>2694</v>
      </c>
      <c r="C1864" s="34" t="s">
        <v>2608</v>
      </c>
      <c r="D1864" s="14" t="s">
        <v>1846</v>
      </c>
    </row>
    <row r="1865" spans="1:4" ht="15" customHeight="1">
      <c r="A1865" s="9"/>
      <c r="B1865" s="38" t="s">
        <v>2685</v>
      </c>
      <c r="C1865" s="34" t="s">
        <v>2608</v>
      </c>
      <c r="D1865" s="14" t="s">
        <v>438</v>
      </c>
    </row>
    <row r="1866" spans="1:4" ht="15" customHeight="1">
      <c r="A1866" s="9"/>
      <c r="B1866" s="38" t="s">
        <v>2672</v>
      </c>
      <c r="C1866" s="34" t="s">
        <v>2608</v>
      </c>
      <c r="D1866" s="14" t="s">
        <v>2673</v>
      </c>
    </row>
    <row r="1867" spans="1:4" ht="15" customHeight="1">
      <c r="A1867" s="9"/>
      <c r="B1867" s="38" t="s">
        <v>2674</v>
      </c>
      <c r="C1867" s="36">
        <v>8</v>
      </c>
      <c r="D1867" s="14" t="s">
        <v>2377</v>
      </c>
    </row>
    <row r="1868" spans="1:4" ht="15" customHeight="1">
      <c r="A1868" s="9"/>
      <c r="B1868" s="38" t="s">
        <v>2617</v>
      </c>
      <c r="C1868" s="36">
        <v>1</v>
      </c>
      <c r="D1868" s="14" t="s">
        <v>2293</v>
      </c>
    </row>
    <row r="1869" spans="1:4" ht="15" customHeight="1">
      <c r="A1869" s="9"/>
      <c r="B1869" s="38" t="s">
        <v>2695</v>
      </c>
      <c r="C1869" s="36">
        <v>2</v>
      </c>
      <c r="D1869" s="14" t="s">
        <v>1111</v>
      </c>
    </row>
    <row r="1870" spans="1:4" ht="15" customHeight="1">
      <c r="A1870" s="9"/>
      <c r="B1870" s="38" t="s">
        <v>2686</v>
      </c>
      <c r="C1870" s="36">
        <v>1</v>
      </c>
      <c r="D1870" s="14" t="s">
        <v>2587</v>
      </c>
    </row>
    <row r="1871" spans="1:4" ht="14.25" customHeight="1">
      <c r="A1871" s="9"/>
      <c r="B1871" s="38" t="s">
        <v>2687</v>
      </c>
      <c r="C1871" s="36">
        <v>4</v>
      </c>
      <c r="D1871" s="14" t="s">
        <v>1103</v>
      </c>
    </row>
    <row r="1872" spans="1:4" ht="16.5" customHeight="1">
      <c r="A1872" s="9"/>
      <c r="B1872" s="38" t="s">
        <v>2688</v>
      </c>
      <c r="C1872" s="36">
        <v>2</v>
      </c>
      <c r="D1872" s="14" t="s">
        <v>1119</v>
      </c>
    </row>
    <row r="1873" spans="1:4" ht="18" customHeight="1">
      <c r="A1873" s="9"/>
      <c r="B1873" s="38" t="s">
        <v>2689</v>
      </c>
      <c r="C1873" s="36">
        <v>2</v>
      </c>
      <c r="D1873" s="14" t="s">
        <v>1117</v>
      </c>
    </row>
    <row r="1874" spans="1:4" ht="19.5" customHeight="1">
      <c r="A1874" s="9"/>
      <c r="B1874" s="39" t="s">
        <v>2698</v>
      </c>
      <c r="C1874" s="32">
        <v>1</v>
      </c>
      <c r="D1874" s="14" t="s">
        <v>540</v>
      </c>
    </row>
    <row r="1875" spans="1:4" ht="19.5" customHeight="1">
      <c r="A1875" s="9" t="s">
        <v>1470</v>
      </c>
      <c r="B1875" s="37" t="s">
        <v>2669</v>
      </c>
      <c r="C1875" s="34" t="s">
        <v>2608</v>
      </c>
      <c r="D1875" s="14" t="s">
        <v>2096</v>
      </c>
    </row>
    <row r="1876" spans="1:4" ht="19.5" customHeight="1">
      <c r="A1876" s="9"/>
      <c r="B1876" s="38" t="s">
        <v>420</v>
      </c>
      <c r="C1876" s="30" t="s">
        <v>2609</v>
      </c>
      <c r="D1876" s="14" t="s">
        <v>422</v>
      </c>
    </row>
    <row r="1877" spans="1:4" ht="19.5" customHeight="1">
      <c r="A1877" s="9"/>
      <c r="B1877" s="38" t="s">
        <v>420</v>
      </c>
      <c r="C1877" s="30" t="s">
        <v>2609</v>
      </c>
      <c r="D1877" s="14" t="s">
        <v>422</v>
      </c>
    </row>
    <row r="1878" spans="1:4" ht="19.5" customHeight="1">
      <c r="A1878" s="9"/>
      <c r="B1878" s="38" t="s">
        <v>420</v>
      </c>
      <c r="C1878" s="30" t="s">
        <v>2670</v>
      </c>
      <c r="D1878" s="14" t="s">
        <v>422</v>
      </c>
    </row>
    <row r="1879" spans="1:4" ht="19.5" customHeight="1">
      <c r="A1879" s="9"/>
      <c r="B1879" s="38" t="s">
        <v>420</v>
      </c>
      <c r="C1879" s="30" t="s">
        <v>2609</v>
      </c>
      <c r="D1879" s="14" t="s">
        <v>422</v>
      </c>
    </row>
    <row r="1880" spans="1:4" ht="19.5" customHeight="1">
      <c r="A1880" s="9"/>
      <c r="B1880" s="38" t="s">
        <v>420</v>
      </c>
      <c r="C1880" s="30" t="s">
        <v>2609</v>
      </c>
      <c r="D1880" s="14" t="s">
        <v>422</v>
      </c>
    </row>
    <row r="1881" spans="1:4" ht="19.5" customHeight="1">
      <c r="A1881" s="9"/>
      <c r="B1881" s="38" t="s">
        <v>2671</v>
      </c>
      <c r="C1881" s="34" t="s">
        <v>2608</v>
      </c>
      <c r="D1881" s="14" t="s">
        <v>2107</v>
      </c>
    </row>
    <row r="1882" spans="1:4" ht="19.5" customHeight="1">
      <c r="A1882" s="9"/>
      <c r="B1882" s="38" t="s">
        <v>2694</v>
      </c>
      <c r="C1882" s="34" t="s">
        <v>2608</v>
      </c>
      <c r="D1882" s="14" t="s">
        <v>1846</v>
      </c>
    </row>
    <row r="1883" spans="1:4" ht="19.5" customHeight="1">
      <c r="A1883" s="9"/>
      <c r="B1883" s="38" t="s">
        <v>2685</v>
      </c>
      <c r="C1883" s="34" t="s">
        <v>2608</v>
      </c>
      <c r="D1883" s="14" t="s">
        <v>438</v>
      </c>
    </row>
    <row r="1884" spans="1:4" ht="19.5" customHeight="1">
      <c r="A1884" s="9"/>
      <c r="B1884" s="38" t="s">
        <v>2672</v>
      </c>
      <c r="C1884" s="34" t="s">
        <v>2608</v>
      </c>
      <c r="D1884" s="14" t="s">
        <v>2673</v>
      </c>
    </row>
    <row r="1885" spans="1:4" ht="15" customHeight="1">
      <c r="A1885" s="9"/>
      <c r="B1885" s="38" t="s">
        <v>2674</v>
      </c>
      <c r="C1885" s="36">
        <v>12</v>
      </c>
      <c r="D1885" s="14" t="s">
        <v>2377</v>
      </c>
    </row>
    <row r="1886" spans="1:4" ht="15" customHeight="1">
      <c r="A1886" s="9"/>
      <c r="B1886" s="38" t="s">
        <v>2617</v>
      </c>
      <c r="C1886" s="36">
        <v>3</v>
      </c>
      <c r="D1886" s="14" t="s">
        <v>2293</v>
      </c>
    </row>
    <row r="1887" spans="1:4" ht="15" customHeight="1">
      <c r="A1887" s="9"/>
      <c r="B1887" s="38" t="s">
        <v>2695</v>
      </c>
      <c r="C1887" s="36">
        <v>2</v>
      </c>
      <c r="D1887" s="14" t="s">
        <v>1111</v>
      </c>
    </row>
    <row r="1888" spans="1:4" ht="15" customHeight="1">
      <c r="A1888" s="9"/>
      <c r="B1888" s="38" t="s">
        <v>2686</v>
      </c>
      <c r="C1888" s="36">
        <v>1</v>
      </c>
      <c r="D1888" s="14" t="s">
        <v>2587</v>
      </c>
    </row>
    <row r="1889" spans="1:4" ht="15" customHeight="1">
      <c r="A1889" s="9"/>
      <c r="B1889" s="38" t="s">
        <v>2687</v>
      </c>
      <c r="C1889" s="36">
        <v>4</v>
      </c>
      <c r="D1889" s="14" t="s">
        <v>1103</v>
      </c>
    </row>
    <row r="1890" spans="1:4" ht="15" customHeight="1">
      <c r="A1890" s="9"/>
      <c r="B1890" s="38" t="s">
        <v>2675</v>
      </c>
      <c r="C1890" s="36">
        <v>4</v>
      </c>
      <c r="D1890" s="14" t="s">
        <v>1105</v>
      </c>
    </row>
    <row r="1891" spans="1:4" ht="15" customHeight="1">
      <c r="A1891" s="9"/>
      <c r="B1891" s="38" t="s">
        <v>2688</v>
      </c>
      <c r="C1891" s="36">
        <v>2</v>
      </c>
      <c r="D1891" s="14" t="s">
        <v>1119</v>
      </c>
    </row>
    <row r="1892" spans="1:4" ht="15" customHeight="1">
      <c r="A1892" s="9"/>
      <c r="B1892" s="38" t="s">
        <v>2689</v>
      </c>
      <c r="C1892" s="36">
        <v>2</v>
      </c>
      <c r="D1892" s="14" t="s">
        <v>1117</v>
      </c>
    </row>
    <row r="1893" spans="1:4" ht="15" customHeight="1">
      <c r="A1893" s="9"/>
      <c r="B1893" s="39" t="s">
        <v>2698</v>
      </c>
      <c r="C1893" s="36">
        <v>1</v>
      </c>
      <c r="D1893" s="14" t="s">
        <v>540</v>
      </c>
    </row>
    <row r="1894" spans="1:4" ht="15" customHeight="1">
      <c r="A1894" s="9"/>
      <c r="B1894" s="39" t="s">
        <v>2676</v>
      </c>
      <c r="C1894" s="32">
        <v>2</v>
      </c>
      <c r="D1894" s="14" t="s">
        <v>530</v>
      </c>
    </row>
    <row r="1895" spans="1:4" ht="15" customHeight="1">
      <c r="A1895" s="35"/>
      <c r="B1895" s="38"/>
      <c r="C1895" s="36"/>
      <c r="D1895" s="14"/>
    </row>
    <row r="1896" spans="1:4" ht="15" customHeight="1">
      <c r="A1896" s="35"/>
      <c r="B1896" s="38"/>
      <c r="C1896" s="36"/>
      <c r="D1896" s="14"/>
    </row>
    <row r="1897" spans="1:4" ht="15" customHeight="1">
      <c r="A1897" s="35"/>
      <c r="B1897" s="38"/>
      <c r="C1897" s="36"/>
      <c r="D1897" s="14"/>
    </row>
    <row r="1898" spans="1:4" ht="15" customHeight="1">
      <c r="A1898" s="35"/>
      <c r="B1898" s="38"/>
      <c r="C1898" s="36"/>
      <c r="D1898" s="14"/>
    </row>
    <row r="1899" spans="1:4" ht="15" customHeight="1">
      <c r="A1899" s="35"/>
      <c r="B1899" s="38"/>
      <c r="C1899" s="36"/>
      <c r="D1899" s="14"/>
    </row>
    <row r="1900" spans="1:4" ht="15" customHeight="1">
      <c r="A1900" s="35"/>
      <c r="B1900" s="38"/>
      <c r="C1900" s="36"/>
      <c r="D1900" s="14"/>
    </row>
    <row r="1901" spans="1:4" ht="15" customHeight="1">
      <c r="A1901" s="35"/>
      <c r="B1901" s="38"/>
      <c r="C1901" s="36"/>
      <c r="D1901" s="14"/>
    </row>
    <row r="1902" spans="1:4" ht="15" customHeight="1">
      <c r="A1902" s="35"/>
      <c r="B1902" s="38"/>
      <c r="C1902" s="36"/>
      <c r="D1902" s="14"/>
    </row>
    <row r="1903" spans="1:4" ht="15" customHeight="1">
      <c r="A1903" s="35"/>
      <c r="B1903" s="38"/>
      <c r="C1903" s="36"/>
      <c r="D1903" s="14"/>
    </row>
    <row r="1904" spans="1:4" ht="15" customHeight="1">
      <c r="A1904" s="35"/>
      <c r="B1904" s="38"/>
      <c r="C1904" s="36"/>
      <c r="D1904" s="14"/>
    </row>
    <row r="1905" spans="1:4" ht="15" customHeight="1">
      <c r="A1905" s="9" t="s">
        <v>1472</v>
      </c>
      <c r="B1905" s="37" t="s">
        <v>2680</v>
      </c>
      <c r="C1905" s="34" t="s">
        <v>2608</v>
      </c>
      <c r="D1905" s="14" t="s">
        <v>2232</v>
      </c>
    </row>
    <row r="1906" spans="1:4" ht="15" customHeight="1">
      <c r="A1906" s="9"/>
      <c r="B1906" s="38" t="s">
        <v>420</v>
      </c>
      <c r="C1906" s="30" t="s">
        <v>2609</v>
      </c>
      <c r="D1906" s="14" t="s">
        <v>422</v>
      </c>
    </row>
    <row r="1907" spans="1:4" ht="15" customHeight="1">
      <c r="A1907" s="9"/>
      <c r="B1907" s="38" t="s">
        <v>420</v>
      </c>
      <c r="C1907" s="30" t="s">
        <v>2609</v>
      </c>
      <c r="D1907" s="14" t="s">
        <v>422</v>
      </c>
    </row>
    <row r="1908" spans="1:4" ht="15" customHeight="1">
      <c r="A1908" s="9"/>
      <c r="B1908" s="38" t="s">
        <v>420</v>
      </c>
      <c r="C1908" s="30" t="s">
        <v>2609</v>
      </c>
      <c r="D1908" s="14" t="s">
        <v>422</v>
      </c>
    </row>
    <row r="1909" spans="1:4" ht="19.5" customHeight="1">
      <c r="A1909" s="9"/>
      <c r="B1909" s="38" t="s">
        <v>420</v>
      </c>
      <c r="C1909" s="30" t="s">
        <v>2670</v>
      </c>
      <c r="D1909" s="14" t="s">
        <v>422</v>
      </c>
    </row>
    <row r="1910" spans="1:4" ht="15" customHeight="1">
      <c r="A1910" s="9"/>
      <c r="B1910" s="38" t="s">
        <v>420</v>
      </c>
      <c r="C1910" s="30" t="s">
        <v>2609</v>
      </c>
      <c r="D1910" s="14" t="s">
        <v>422</v>
      </c>
    </row>
    <row r="1911" spans="1:4" ht="15" customHeight="1">
      <c r="A1911" s="9"/>
      <c r="B1911" s="38" t="s">
        <v>2671</v>
      </c>
      <c r="C1911" s="34" t="s">
        <v>2608</v>
      </c>
      <c r="D1911" s="14" t="s">
        <v>2107</v>
      </c>
    </row>
    <row r="1912" spans="1:4" ht="15" customHeight="1">
      <c r="A1912" s="9"/>
      <c r="B1912" s="38" t="s">
        <v>2694</v>
      </c>
      <c r="C1912" s="34" t="s">
        <v>2608</v>
      </c>
      <c r="D1912" s="14" t="s">
        <v>1846</v>
      </c>
    </row>
    <row r="1913" spans="1:4" ht="15" customHeight="1">
      <c r="A1913" s="9"/>
      <c r="B1913" s="38" t="s">
        <v>2685</v>
      </c>
      <c r="C1913" s="34" t="s">
        <v>2608</v>
      </c>
      <c r="D1913" s="14" t="s">
        <v>438</v>
      </c>
    </row>
    <row r="1914" spans="1:4" ht="15" customHeight="1">
      <c r="A1914" s="9"/>
      <c r="B1914" s="38" t="s">
        <v>2672</v>
      </c>
      <c r="C1914" s="34" t="s">
        <v>2608</v>
      </c>
      <c r="D1914" s="14" t="s">
        <v>2673</v>
      </c>
    </row>
    <row r="1915" spans="1:4" ht="15" customHeight="1">
      <c r="A1915" s="9"/>
      <c r="B1915" s="38" t="s">
        <v>2674</v>
      </c>
      <c r="C1915" s="36">
        <v>12</v>
      </c>
      <c r="D1915" s="14" t="s">
        <v>2377</v>
      </c>
    </row>
    <row r="1916" spans="1:4" ht="15" customHeight="1">
      <c r="A1916" s="9"/>
      <c r="B1916" s="38" t="s">
        <v>2617</v>
      </c>
      <c r="C1916" s="36">
        <v>3</v>
      </c>
      <c r="D1916" s="14" t="s">
        <v>2293</v>
      </c>
    </row>
    <row r="1917" spans="1:4" ht="15" customHeight="1">
      <c r="A1917" s="9"/>
      <c r="B1917" s="38" t="s">
        <v>2695</v>
      </c>
      <c r="C1917" s="36">
        <v>2</v>
      </c>
      <c r="D1917" s="14" t="s">
        <v>1111</v>
      </c>
    </row>
    <row r="1918" spans="1:4" ht="15" customHeight="1">
      <c r="A1918" s="9"/>
      <c r="B1918" s="38" t="s">
        <v>2686</v>
      </c>
      <c r="C1918" s="36">
        <v>1</v>
      </c>
      <c r="D1918" s="14" t="s">
        <v>2587</v>
      </c>
    </row>
    <row r="1919" spans="1:4" ht="19.5" customHeight="1">
      <c r="A1919" s="9"/>
      <c r="B1919" s="38" t="s">
        <v>2687</v>
      </c>
      <c r="C1919" s="36">
        <v>4</v>
      </c>
      <c r="D1919" s="14" t="s">
        <v>1103</v>
      </c>
    </row>
    <row r="1920" spans="1:4" ht="19.5" customHeight="1">
      <c r="A1920" s="9"/>
      <c r="B1920" s="38" t="s">
        <v>2675</v>
      </c>
      <c r="C1920" s="36">
        <v>4</v>
      </c>
      <c r="D1920" s="14" t="s">
        <v>1105</v>
      </c>
    </row>
    <row r="1921" spans="1:4" ht="19.5" customHeight="1">
      <c r="A1921" s="9"/>
      <c r="B1921" s="38" t="s">
        <v>2688</v>
      </c>
      <c r="C1921" s="36">
        <v>2</v>
      </c>
      <c r="D1921" s="14" t="s">
        <v>1119</v>
      </c>
    </row>
    <row r="1922" spans="1:4" ht="19.5" customHeight="1">
      <c r="A1922" s="9"/>
      <c r="B1922" s="38" t="s">
        <v>2689</v>
      </c>
      <c r="C1922" s="36">
        <v>2</v>
      </c>
      <c r="D1922" s="14" t="s">
        <v>1117</v>
      </c>
    </row>
    <row r="1923" spans="1:4" ht="19.5" customHeight="1">
      <c r="A1923" s="9"/>
      <c r="B1923" s="39" t="s">
        <v>2698</v>
      </c>
      <c r="C1923" s="36">
        <v>1</v>
      </c>
      <c r="D1923" s="14" t="s">
        <v>540</v>
      </c>
    </row>
    <row r="1924" spans="1:4" ht="19.5" customHeight="1">
      <c r="A1924" s="9"/>
      <c r="B1924" s="39" t="s">
        <v>2676</v>
      </c>
      <c r="C1924" s="32">
        <v>2</v>
      </c>
      <c r="D1924" s="14" t="s">
        <v>530</v>
      </c>
    </row>
    <row r="1925" spans="1:4" ht="19.5" customHeight="1">
      <c r="A1925" s="9" t="s">
        <v>1474</v>
      </c>
      <c r="B1925" s="37" t="s">
        <v>2678</v>
      </c>
      <c r="C1925" s="34" t="s">
        <v>2608</v>
      </c>
      <c r="D1925" s="14" t="s">
        <v>2240</v>
      </c>
    </row>
    <row r="1926" spans="1:4" ht="15" customHeight="1">
      <c r="A1926" s="9"/>
      <c r="B1926" s="38" t="s">
        <v>420</v>
      </c>
      <c r="C1926" s="30" t="s">
        <v>2609</v>
      </c>
      <c r="D1926" s="14" t="s">
        <v>422</v>
      </c>
    </row>
    <row r="1927" spans="1:4" ht="19.5" customHeight="1">
      <c r="A1927" s="9"/>
      <c r="B1927" s="38" t="s">
        <v>420</v>
      </c>
      <c r="C1927" s="30" t="s">
        <v>2670</v>
      </c>
      <c r="D1927" s="14" t="s">
        <v>422</v>
      </c>
    </row>
    <row r="1928" spans="1:4" ht="15" customHeight="1">
      <c r="A1928" s="9"/>
      <c r="B1928" s="38" t="s">
        <v>420</v>
      </c>
      <c r="C1928" s="30" t="s">
        <v>2609</v>
      </c>
      <c r="D1928" s="14" t="s">
        <v>422</v>
      </c>
    </row>
    <row r="1929" spans="1:4" ht="19.5" customHeight="1">
      <c r="A1929" s="9"/>
      <c r="B1929" s="38" t="s">
        <v>420</v>
      </c>
      <c r="C1929" s="30" t="s">
        <v>2609</v>
      </c>
      <c r="D1929" s="14" t="s">
        <v>422</v>
      </c>
    </row>
    <row r="1930" spans="1:4" ht="19.5" customHeight="1">
      <c r="A1930" s="9"/>
      <c r="B1930" s="38" t="s">
        <v>420</v>
      </c>
      <c r="C1930" s="30" t="s">
        <v>2609</v>
      </c>
      <c r="D1930" s="14" t="s">
        <v>422</v>
      </c>
    </row>
    <row r="1931" spans="1:4" ht="15" customHeight="1">
      <c r="A1931" s="9"/>
      <c r="B1931" s="38" t="s">
        <v>2671</v>
      </c>
      <c r="C1931" s="34" t="s">
        <v>2608</v>
      </c>
      <c r="D1931" s="14" t="s">
        <v>2107</v>
      </c>
    </row>
    <row r="1932" spans="1:4" ht="15" customHeight="1">
      <c r="A1932" s="9"/>
      <c r="B1932" s="38" t="s">
        <v>2694</v>
      </c>
      <c r="C1932" s="34" t="s">
        <v>2608</v>
      </c>
      <c r="D1932" s="14" t="s">
        <v>1846</v>
      </c>
    </row>
    <row r="1933" spans="1:4" ht="15" customHeight="1">
      <c r="A1933" s="9"/>
      <c r="B1933" s="38" t="s">
        <v>2685</v>
      </c>
      <c r="C1933" s="34" t="s">
        <v>2608</v>
      </c>
      <c r="D1933" s="14" t="s">
        <v>438</v>
      </c>
    </row>
    <row r="1934" spans="1:4" ht="15" customHeight="1">
      <c r="A1934" s="9"/>
      <c r="B1934" s="38" t="s">
        <v>2672</v>
      </c>
      <c r="C1934" s="34" t="s">
        <v>2608</v>
      </c>
      <c r="D1934" s="14" t="s">
        <v>2673</v>
      </c>
    </row>
    <row r="1935" spans="1:4" ht="15" customHeight="1">
      <c r="A1935" s="9"/>
      <c r="B1935" s="38" t="s">
        <v>2674</v>
      </c>
      <c r="C1935" s="36">
        <v>12</v>
      </c>
      <c r="D1935" s="14" t="s">
        <v>2377</v>
      </c>
    </row>
    <row r="1936" spans="1:4" ht="15" customHeight="1">
      <c r="A1936" s="9"/>
      <c r="B1936" s="38" t="s">
        <v>2617</v>
      </c>
      <c r="C1936" s="36">
        <v>3</v>
      </c>
      <c r="D1936" s="14" t="s">
        <v>2293</v>
      </c>
    </row>
    <row r="1937" spans="1:4" ht="15" customHeight="1">
      <c r="A1937" s="9"/>
      <c r="B1937" s="38" t="s">
        <v>2695</v>
      </c>
      <c r="C1937" s="36">
        <v>2</v>
      </c>
      <c r="D1937" s="14" t="s">
        <v>1111</v>
      </c>
    </row>
    <row r="1938" spans="1:4" ht="15" customHeight="1">
      <c r="A1938" s="9"/>
      <c r="B1938" s="38" t="s">
        <v>2686</v>
      </c>
      <c r="C1938" s="36">
        <v>1</v>
      </c>
      <c r="D1938" s="14" t="s">
        <v>2587</v>
      </c>
    </row>
    <row r="1939" spans="1:4" ht="15" customHeight="1">
      <c r="A1939" s="9"/>
      <c r="B1939" s="38" t="s">
        <v>2687</v>
      </c>
      <c r="C1939" s="36">
        <v>4</v>
      </c>
      <c r="D1939" s="14" t="s">
        <v>1103</v>
      </c>
    </row>
    <row r="1940" spans="1:4" ht="15" customHeight="1">
      <c r="A1940" s="9"/>
      <c r="B1940" s="38" t="s">
        <v>2675</v>
      </c>
      <c r="C1940" s="36">
        <v>4</v>
      </c>
      <c r="D1940" s="14" t="s">
        <v>1105</v>
      </c>
    </row>
    <row r="1941" spans="1:4" ht="15" customHeight="1">
      <c r="A1941" s="9"/>
      <c r="B1941" s="38" t="s">
        <v>2688</v>
      </c>
      <c r="C1941" s="36">
        <v>2</v>
      </c>
      <c r="D1941" s="14" t="s">
        <v>1119</v>
      </c>
    </row>
    <row r="1942" spans="1:4" ht="15" customHeight="1">
      <c r="A1942" s="9"/>
      <c r="B1942" s="38" t="s">
        <v>2689</v>
      </c>
      <c r="C1942" s="36">
        <v>2</v>
      </c>
      <c r="D1942" s="14" t="s">
        <v>1117</v>
      </c>
    </row>
    <row r="1943" spans="1:4" ht="15" customHeight="1">
      <c r="A1943" s="9"/>
      <c r="B1943" s="39" t="s">
        <v>2698</v>
      </c>
      <c r="C1943" s="36">
        <v>1</v>
      </c>
      <c r="D1943" s="14" t="s">
        <v>540</v>
      </c>
    </row>
    <row r="1944" spans="1:4" ht="15" customHeight="1">
      <c r="A1944" s="9"/>
      <c r="B1944" s="39" t="s">
        <v>2676</v>
      </c>
      <c r="C1944" s="32">
        <v>2</v>
      </c>
      <c r="D1944" s="14" t="s">
        <v>530</v>
      </c>
    </row>
    <row r="1945" spans="1:4" ht="15" customHeight="1">
      <c r="A1945" s="35"/>
      <c r="B1945" s="38"/>
      <c r="C1945" s="36"/>
      <c r="D1945" s="14"/>
    </row>
    <row r="1946" spans="1:4" ht="15" customHeight="1">
      <c r="A1946" s="35"/>
      <c r="B1946" s="38"/>
      <c r="C1946" s="36"/>
      <c r="D1946" s="14"/>
    </row>
    <row r="1947" spans="1:4" ht="15" customHeight="1">
      <c r="A1947" s="35"/>
      <c r="B1947" s="38"/>
      <c r="C1947" s="36"/>
      <c r="D1947" s="14"/>
    </row>
    <row r="1948" spans="1:4" ht="15" customHeight="1">
      <c r="A1948" s="35"/>
      <c r="B1948" s="38"/>
      <c r="C1948" s="36"/>
      <c r="D1948" s="14"/>
    </row>
    <row r="1949" spans="1:4" ht="15" customHeight="1">
      <c r="A1949" s="35"/>
      <c r="B1949" s="38"/>
      <c r="C1949" s="36"/>
      <c r="D1949" s="14"/>
    </row>
    <row r="1950" spans="1:4" ht="15" customHeight="1">
      <c r="A1950" s="35"/>
      <c r="B1950" s="38"/>
      <c r="C1950" s="36"/>
      <c r="D1950" s="14"/>
    </row>
    <row r="1951" spans="1:4" ht="15" customHeight="1">
      <c r="A1951" s="35"/>
      <c r="B1951" s="38"/>
      <c r="C1951" s="36"/>
      <c r="D1951" s="14"/>
    </row>
    <row r="1952" spans="1:4" ht="15" customHeight="1">
      <c r="A1952" s="35"/>
      <c r="B1952" s="38"/>
      <c r="C1952" s="36"/>
      <c r="D1952" s="14"/>
    </row>
    <row r="1953" spans="1:4" ht="15" customHeight="1">
      <c r="A1953" s="9" t="s">
        <v>1476</v>
      </c>
      <c r="B1953" s="37" t="s">
        <v>2669</v>
      </c>
      <c r="C1953" s="34" t="s">
        <v>2608</v>
      </c>
      <c r="D1953" s="14" t="s">
        <v>2096</v>
      </c>
    </row>
    <row r="1954" spans="1:4" ht="15" customHeight="1">
      <c r="A1954" s="9"/>
      <c r="B1954" s="38" t="s">
        <v>420</v>
      </c>
      <c r="C1954" s="30" t="s">
        <v>2609</v>
      </c>
      <c r="D1954" s="14" t="s">
        <v>422</v>
      </c>
    </row>
    <row r="1955" spans="1:4" ht="15" customHeight="1">
      <c r="A1955" s="9"/>
      <c r="B1955" s="38" t="s">
        <v>420</v>
      </c>
      <c r="C1955" s="30" t="s">
        <v>2609</v>
      </c>
      <c r="D1955" s="14" t="s">
        <v>422</v>
      </c>
    </row>
    <row r="1956" spans="1:4" ht="19.5" customHeight="1">
      <c r="A1956" s="9"/>
      <c r="B1956" s="38" t="s">
        <v>420</v>
      </c>
      <c r="C1956" s="30" t="s">
        <v>2670</v>
      </c>
      <c r="D1956" s="14" t="s">
        <v>422</v>
      </c>
    </row>
    <row r="1957" spans="1:4" ht="19.5" customHeight="1">
      <c r="A1957" s="9"/>
      <c r="B1957" s="38" t="s">
        <v>420</v>
      </c>
      <c r="C1957" s="30" t="s">
        <v>2609</v>
      </c>
      <c r="D1957" s="14" t="s">
        <v>422</v>
      </c>
    </row>
    <row r="1958" spans="1:4" ht="19.5" customHeight="1">
      <c r="A1958" s="9"/>
      <c r="B1958" s="38" t="s">
        <v>420</v>
      </c>
      <c r="C1958" s="30" t="s">
        <v>2609</v>
      </c>
      <c r="D1958" s="14" t="s">
        <v>422</v>
      </c>
    </row>
    <row r="1959" spans="1:4" ht="15" customHeight="1">
      <c r="A1959" s="9"/>
      <c r="B1959" s="38" t="s">
        <v>2683</v>
      </c>
      <c r="C1959" s="34" t="s">
        <v>2608</v>
      </c>
      <c r="D1959" s="14" t="s">
        <v>2109</v>
      </c>
    </row>
    <row r="1960" spans="1:4" ht="15" customHeight="1">
      <c r="A1960" s="9"/>
      <c r="B1960" s="38" t="s">
        <v>2694</v>
      </c>
      <c r="C1960" s="34" t="s">
        <v>2608</v>
      </c>
      <c r="D1960" s="14" t="s">
        <v>1846</v>
      </c>
    </row>
    <row r="1961" spans="1:4" ht="15" customHeight="1">
      <c r="A1961" s="9"/>
      <c r="B1961" s="38" t="s">
        <v>2685</v>
      </c>
      <c r="C1961" s="34" t="s">
        <v>2608</v>
      </c>
      <c r="D1961" s="14" t="s">
        <v>438</v>
      </c>
    </row>
    <row r="1962" spans="1:4" ht="15" customHeight="1">
      <c r="A1962" s="9"/>
      <c r="B1962" s="38" t="s">
        <v>2672</v>
      </c>
      <c r="C1962" s="34" t="s">
        <v>2608</v>
      </c>
      <c r="D1962" s="14" t="s">
        <v>2673</v>
      </c>
    </row>
    <row r="1963" spans="1:4" ht="15" customHeight="1">
      <c r="A1963" s="9"/>
      <c r="B1963" s="38" t="s">
        <v>2674</v>
      </c>
      <c r="C1963" s="36">
        <v>8</v>
      </c>
      <c r="D1963" s="14" t="s">
        <v>2377</v>
      </c>
    </row>
    <row r="1964" spans="1:4" ht="15" customHeight="1">
      <c r="A1964" s="9"/>
      <c r="B1964" s="38" t="s">
        <v>2617</v>
      </c>
      <c r="C1964" s="36">
        <v>1</v>
      </c>
      <c r="D1964" s="14" t="s">
        <v>2293</v>
      </c>
    </row>
    <row r="1965" spans="1:4" ht="15" customHeight="1">
      <c r="A1965" s="9"/>
      <c r="B1965" s="38" t="s">
        <v>2695</v>
      </c>
      <c r="C1965" s="36">
        <v>2</v>
      </c>
      <c r="D1965" s="14" t="s">
        <v>1111</v>
      </c>
    </row>
    <row r="1966" spans="1:4" ht="15" customHeight="1">
      <c r="A1966" s="9"/>
      <c r="B1966" s="38" t="s">
        <v>2686</v>
      </c>
      <c r="C1966" s="36">
        <v>1</v>
      </c>
      <c r="D1966" s="14" t="s">
        <v>2587</v>
      </c>
    </row>
    <row r="1967" spans="1:4" ht="15" customHeight="1">
      <c r="A1967" s="9"/>
      <c r="B1967" s="38" t="s">
        <v>2687</v>
      </c>
      <c r="C1967" s="36">
        <v>4</v>
      </c>
      <c r="D1967" s="14" t="s">
        <v>1103</v>
      </c>
    </row>
    <row r="1968" spans="1:4" ht="15" customHeight="1">
      <c r="A1968" s="9"/>
      <c r="B1968" s="38" t="s">
        <v>2688</v>
      </c>
      <c r="C1968" s="36">
        <v>2</v>
      </c>
      <c r="D1968" s="14" t="s">
        <v>1119</v>
      </c>
    </row>
    <row r="1969" spans="1:4" ht="15" customHeight="1">
      <c r="A1969" s="9"/>
      <c r="B1969" s="38" t="s">
        <v>2689</v>
      </c>
      <c r="C1969" s="36">
        <v>2</v>
      </c>
      <c r="D1969" s="14" t="s">
        <v>1117</v>
      </c>
    </row>
    <row r="1970" spans="1:4" ht="15" customHeight="1">
      <c r="A1970" s="9"/>
      <c r="B1970" s="39" t="s">
        <v>2698</v>
      </c>
      <c r="C1970" s="32">
        <v>1</v>
      </c>
      <c r="D1970" s="14" t="s">
        <v>540</v>
      </c>
    </row>
    <row r="1971" spans="1:4" ht="15" customHeight="1">
      <c r="A1971" s="9" t="s">
        <v>1478</v>
      </c>
      <c r="B1971" s="37" t="s">
        <v>2680</v>
      </c>
      <c r="C1971" s="34" t="s">
        <v>2608</v>
      </c>
      <c r="D1971" s="14" t="s">
        <v>2232</v>
      </c>
    </row>
    <row r="1972" spans="1:4" ht="15" customHeight="1">
      <c r="A1972" s="9"/>
      <c r="B1972" s="38" t="s">
        <v>420</v>
      </c>
      <c r="C1972" s="30" t="s">
        <v>2609</v>
      </c>
      <c r="D1972" s="14" t="s">
        <v>422</v>
      </c>
    </row>
    <row r="1973" spans="1:4" ht="15" customHeight="1">
      <c r="A1973" s="9"/>
      <c r="B1973" s="38" t="s">
        <v>420</v>
      </c>
      <c r="C1973" s="30" t="s">
        <v>2609</v>
      </c>
      <c r="D1973" s="14" t="s">
        <v>422</v>
      </c>
    </row>
    <row r="1974" spans="1:4" ht="19.5" customHeight="1">
      <c r="A1974" s="9"/>
      <c r="B1974" s="38" t="s">
        <v>420</v>
      </c>
      <c r="C1974" s="30" t="s">
        <v>2670</v>
      </c>
      <c r="D1974" s="14" t="s">
        <v>422</v>
      </c>
    </row>
    <row r="1975" spans="1:4" ht="19.5" customHeight="1">
      <c r="A1975" s="9"/>
      <c r="B1975" s="38" t="s">
        <v>420</v>
      </c>
      <c r="C1975" s="30" t="s">
        <v>2609</v>
      </c>
      <c r="D1975" s="14" t="s">
        <v>422</v>
      </c>
    </row>
    <row r="1976" spans="1:4" ht="19.5" customHeight="1">
      <c r="A1976" s="9"/>
      <c r="B1976" s="38" t="s">
        <v>420</v>
      </c>
      <c r="C1976" s="30" t="s">
        <v>2609</v>
      </c>
      <c r="D1976" s="14" t="s">
        <v>422</v>
      </c>
    </row>
    <row r="1977" spans="1:4" ht="15" customHeight="1">
      <c r="A1977" s="9"/>
      <c r="B1977" s="38" t="s">
        <v>2683</v>
      </c>
      <c r="C1977" s="34" t="s">
        <v>2608</v>
      </c>
      <c r="D1977" s="14" t="s">
        <v>2109</v>
      </c>
    </row>
    <row r="1978" spans="1:4" ht="15" customHeight="1">
      <c r="A1978" s="9"/>
      <c r="B1978" s="38" t="s">
        <v>2694</v>
      </c>
      <c r="C1978" s="34" t="s">
        <v>2608</v>
      </c>
      <c r="D1978" s="14" t="s">
        <v>1846</v>
      </c>
    </row>
    <row r="1979" spans="1:4" ht="19.5" customHeight="1">
      <c r="A1979" s="9"/>
      <c r="B1979" s="38" t="s">
        <v>2685</v>
      </c>
      <c r="C1979" s="34" t="s">
        <v>2608</v>
      </c>
      <c r="D1979" s="14" t="s">
        <v>438</v>
      </c>
    </row>
    <row r="1980" spans="1:4" ht="19.5" customHeight="1">
      <c r="A1980" s="9"/>
      <c r="B1980" s="38" t="s">
        <v>2672</v>
      </c>
      <c r="C1980" s="34" t="s">
        <v>2608</v>
      </c>
      <c r="D1980" s="14" t="s">
        <v>2673</v>
      </c>
    </row>
    <row r="1981" spans="1:4" ht="19.5" customHeight="1">
      <c r="A1981" s="9"/>
      <c r="B1981" s="38" t="s">
        <v>2674</v>
      </c>
      <c r="C1981" s="36">
        <v>8</v>
      </c>
      <c r="D1981" s="14" t="s">
        <v>2377</v>
      </c>
    </row>
    <row r="1982" spans="1:4" ht="19.5" customHeight="1">
      <c r="A1982" s="9"/>
      <c r="B1982" s="38" t="s">
        <v>2617</v>
      </c>
      <c r="C1982" s="36">
        <v>1</v>
      </c>
      <c r="D1982" s="14" t="s">
        <v>2293</v>
      </c>
    </row>
    <row r="1983" spans="1:4" ht="19.5" customHeight="1">
      <c r="A1983" s="9"/>
      <c r="B1983" s="38" t="s">
        <v>2695</v>
      </c>
      <c r="C1983" s="36">
        <v>2</v>
      </c>
      <c r="D1983" s="14" t="s">
        <v>1111</v>
      </c>
    </row>
    <row r="1984" spans="1:4" ht="19.5" customHeight="1">
      <c r="A1984" s="9"/>
      <c r="B1984" s="38" t="s">
        <v>2686</v>
      </c>
      <c r="C1984" s="36">
        <v>1</v>
      </c>
      <c r="D1984" s="14" t="s">
        <v>2587</v>
      </c>
    </row>
    <row r="1985" spans="1:4" ht="19.5" customHeight="1">
      <c r="A1985" s="9"/>
      <c r="B1985" s="38" t="s">
        <v>2687</v>
      </c>
      <c r="C1985" s="36">
        <v>4</v>
      </c>
      <c r="D1985" s="14" t="s">
        <v>1103</v>
      </c>
    </row>
    <row r="1986" spans="1:4" ht="19.5" customHeight="1">
      <c r="A1986" s="9"/>
      <c r="B1986" s="38" t="s">
        <v>2688</v>
      </c>
      <c r="C1986" s="36">
        <v>2</v>
      </c>
      <c r="D1986" s="14" t="s">
        <v>1119</v>
      </c>
    </row>
    <row r="1987" spans="1:4" ht="17.25" customHeight="1">
      <c r="A1987" s="9"/>
      <c r="B1987" s="38" t="s">
        <v>2689</v>
      </c>
      <c r="C1987" s="36">
        <v>2</v>
      </c>
      <c r="D1987" s="14" t="s">
        <v>1117</v>
      </c>
    </row>
    <row r="1988" spans="1:4" ht="19.5" customHeight="1">
      <c r="A1988" s="9"/>
      <c r="B1988" s="39" t="s">
        <v>2698</v>
      </c>
      <c r="C1988" s="32">
        <v>1</v>
      </c>
      <c r="D1988" s="14" t="s">
        <v>540</v>
      </c>
    </row>
    <row r="1989" spans="1:4" ht="19.5" customHeight="1">
      <c r="A1989" s="35"/>
      <c r="B1989" s="38"/>
      <c r="C1989" s="36"/>
      <c r="D1989" s="14"/>
    </row>
    <row r="1990" spans="1:4" ht="19.5" customHeight="1">
      <c r="A1990" s="35"/>
      <c r="B1990" s="38"/>
      <c r="C1990" s="36"/>
      <c r="D1990" s="14"/>
    </row>
    <row r="1991" spans="1:4" ht="19.5" customHeight="1">
      <c r="A1991" s="35"/>
      <c r="B1991" s="38"/>
      <c r="C1991" s="36"/>
      <c r="D1991" s="14"/>
    </row>
    <row r="1992" spans="1:4" ht="19.5" customHeight="1">
      <c r="A1992" s="35"/>
      <c r="B1992" s="38"/>
      <c r="C1992" s="36"/>
      <c r="D1992" s="14"/>
    </row>
    <row r="1993" spans="1:4" ht="19.5" customHeight="1">
      <c r="A1993" s="35"/>
      <c r="B1993" s="38"/>
      <c r="C1993" s="36"/>
      <c r="D1993" s="14"/>
    </row>
    <row r="1994" spans="1:4" ht="19.5" customHeight="1">
      <c r="A1994" s="35"/>
      <c r="B1994" s="38"/>
      <c r="C1994" s="36"/>
      <c r="D1994" s="14"/>
    </row>
    <row r="1995" spans="1:4" ht="19.5" customHeight="1">
      <c r="A1995" s="35"/>
      <c r="B1995" s="38"/>
      <c r="C1995" s="36"/>
      <c r="D1995" s="14"/>
    </row>
    <row r="1996" spans="1:4" ht="19.5" customHeight="1">
      <c r="A1996" s="35"/>
      <c r="B1996" s="38"/>
      <c r="C1996" s="36"/>
      <c r="D1996" s="14"/>
    </row>
    <row r="1997" spans="1:4" ht="19.5" customHeight="1">
      <c r="A1997" s="9" t="s">
        <v>1480</v>
      </c>
      <c r="B1997" s="37" t="s">
        <v>2678</v>
      </c>
      <c r="C1997" s="34" t="s">
        <v>2608</v>
      </c>
      <c r="D1997" s="14" t="s">
        <v>2240</v>
      </c>
    </row>
    <row r="1998" spans="1:4" ht="19.5" customHeight="1">
      <c r="A1998" s="9"/>
      <c r="B1998" s="38" t="s">
        <v>420</v>
      </c>
      <c r="C1998" s="30" t="s">
        <v>2609</v>
      </c>
      <c r="D1998" s="14" t="s">
        <v>422</v>
      </c>
    </row>
    <row r="1999" spans="1:4" ht="19.5" customHeight="1">
      <c r="A1999" s="9"/>
      <c r="B1999" s="38" t="s">
        <v>420</v>
      </c>
      <c r="C1999" s="30" t="s">
        <v>2609</v>
      </c>
      <c r="D1999" s="14" t="s">
        <v>422</v>
      </c>
    </row>
    <row r="2000" spans="1:4" ht="19.5" customHeight="1">
      <c r="A2000" s="9"/>
      <c r="B2000" s="38" t="s">
        <v>420</v>
      </c>
      <c r="C2000" s="30" t="s">
        <v>2670</v>
      </c>
      <c r="D2000" s="14" t="s">
        <v>422</v>
      </c>
    </row>
    <row r="2001" spans="1:4" ht="19.5" customHeight="1">
      <c r="A2001" s="9"/>
      <c r="B2001" s="38" t="s">
        <v>420</v>
      </c>
      <c r="C2001" s="30" t="s">
        <v>2609</v>
      </c>
      <c r="D2001" s="14" t="s">
        <v>422</v>
      </c>
    </row>
    <row r="2002" spans="1:4" ht="19.5" customHeight="1">
      <c r="A2002" s="9"/>
      <c r="B2002" s="38" t="s">
        <v>420</v>
      </c>
      <c r="C2002" s="30" t="s">
        <v>2609</v>
      </c>
      <c r="D2002" s="14" t="s">
        <v>422</v>
      </c>
    </row>
    <row r="2003" spans="1:4" ht="19.5" customHeight="1">
      <c r="A2003" s="9"/>
      <c r="B2003" s="38" t="s">
        <v>2683</v>
      </c>
      <c r="C2003" s="34" t="s">
        <v>2608</v>
      </c>
      <c r="D2003" s="14" t="s">
        <v>2109</v>
      </c>
    </row>
    <row r="2004" spans="1:4" ht="19.5" customHeight="1">
      <c r="A2004" s="9"/>
      <c r="B2004" s="38" t="s">
        <v>2694</v>
      </c>
      <c r="C2004" s="34" t="s">
        <v>2608</v>
      </c>
      <c r="D2004" s="14" t="s">
        <v>1846</v>
      </c>
    </row>
    <row r="2005" spans="1:4" ht="19.5" customHeight="1">
      <c r="A2005" s="9"/>
      <c r="B2005" s="38" t="s">
        <v>2685</v>
      </c>
      <c r="C2005" s="34" t="s">
        <v>2608</v>
      </c>
      <c r="D2005" s="14" t="s">
        <v>438</v>
      </c>
    </row>
    <row r="2006" spans="1:4" ht="19.5" customHeight="1">
      <c r="A2006" s="9"/>
      <c r="B2006" s="38" t="s">
        <v>2672</v>
      </c>
      <c r="C2006" s="34" t="s">
        <v>2608</v>
      </c>
      <c r="D2006" s="14" t="s">
        <v>2673</v>
      </c>
    </row>
    <row r="2007" spans="1:4" ht="19.5" customHeight="1">
      <c r="A2007" s="9"/>
      <c r="B2007" s="38" t="s">
        <v>2674</v>
      </c>
      <c r="C2007" s="36">
        <v>8</v>
      </c>
      <c r="D2007" s="14" t="s">
        <v>2377</v>
      </c>
    </row>
    <row r="2008" spans="1:4" ht="19.5" customHeight="1">
      <c r="A2008" s="9"/>
      <c r="B2008" s="38" t="s">
        <v>2617</v>
      </c>
      <c r="C2008" s="36">
        <v>1</v>
      </c>
      <c r="D2008" s="14" t="s">
        <v>2293</v>
      </c>
    </row>
    <row r="2009" spans="1:4" ht="19.5" customHeight="1">
      <c r="A2009" s="9"/>
      <c r="B2009" s="38" t="s">
        <v>2695</v>
      </c>
      <c r="C2009" s="36">
        <v>2</v>
      </c>
      <c r="D2009" s="14" t="s">
        <v>1111</v>
      </c>
    </row>
    <row r="2010" spans="1:4" ht="19.5" customHeight="1">
      <c r="A2010" s="9"/>
      <c r="B2010" s="38" t="s">
        <v>2686</v>
      </c>
      <c r="C2010" s="36">
        <v>1</v>
      </c>
      <c r="D2010" s="14" t="s">
        <v>2587</v>
      </c>
    </row>
    <row r="2011" spans="1:4" ht="19.5" customHeight="1">
      <c r="A2011" s="9"/>
      <c r="B2011" s="38" t="s">
        <v>2687</v>
      </c>
      <c r="C2011" s="36">
        <v>4</v>
      </c>
      <c r="D2011" s="14" t="s">
        <v>1103</v>
      </c>
    </row>
    <row r="2012" spans="1:4" ht="19.5" customHeight="1">
      <c r="A2012" s="9"/>
      <c r="B2012" s="38" t="s">
        <v>2688</v>
      </c>
      <c r="C2012" s="36">
        <v>2</v>
      </c>
      <c r="D2012" s="14" t="s">
        <v>1119</v>
      </c>
    </row>
    <row r="2013" spans="1:4" ht="19.5" customHeight="1">
      <c r="A2013" s="9"/>
      <c r="B2013" s="38" t="s">
        <v>2689</v>
      </c>
      <c r="C2013" s="36">
        <v>2</v>
      </c>
      <c r="D2013" s="14" t="s">
        <v>1117</v>
      </c>
    </row>
    <row r="2014" spans="1:4" ht="19.5" customHeight="1">
      <c r="A2014" s="9"/>
      <c r="B2014" s="39" t="s">
        <v>2698</v>
      </c>
      <c r="C2014" s="32">
        <v>1</v>
      </c>
      <c r="D2014" s="14" t="s">
        <v>540</v>
      </c>
    </row>
    <row r="2015" spans="1:4" ht="19.5" customHeight="1">
      <c r="A2015" s="9" t="s">
        <v>1482</v>
      </c>
      <c r="B2015" s="37" t="s">
        <v>2669</v>
      </c>
      <c r="C2015" s="34" t="s">
        <v>2608</v>
      </c>
      <c r="D2015" s="14" t="s">
        <v>2096</v>
      </c>
    </row>
    <row r="2016" spans="1:4" ht="19.5" customHeight="1">
      <c r="A2016" s="9"/>
      <c r="B2016" s="38" t="s">
        <v>420</v>
      </c>
      <c r="C2016" s="30" t="s">
        <v>2609</v>
      </c>
      <c r="D2016" s="14" t="s">
        <v>422</v>
      </c>
    </row>
    <row r="2017" spans="1:4" ht="19.5" customHeight="1">
      <c r="A2017" s="9"/>
      <c r="B2017" s="38" t="s">
        <v>420</v>
      </c>
      <c r="C2017" s="30" t="s">
        <v>2609</v>
      </c>
      <c r="D2017" s="14" t="s">
        <v>422</v>
      </c>
    </row>
    <row r="2018" spans="1:4" ht="19.5" customHeight="1">
      <c r="A2018" s="9"/>
      <c r="B2018" s="38" t="s">
        <v>420</v>
      </c>
      <c r="C2018" s="30" t="s">
        <v>2670</v>
      </c>
      <c r="D2018" s="14" t="s">
        <v>422</v>
      </c>
    </row>
    <row r="2019" spans="1:4" ht="19.5" customHeight="1">
      <c r="A2019" s="9"/>
      <c r="B2019" s="38" t="s">
        <v>420</v>
      </c>
      <c r="C2019" s="30" t="s">
        <v>2609</v>
      </c>
      <c r="D2019" s="14" t="s">
        <v>422</v>
      </c>
    </row>
    <row r="2020" spans="1:4" ht="19.5" customHeight="1">
      <c r="A2020" s="9"/>
      <c r="B2020" s="38" t="s">
        <v>420</v>
      </c>
      <c r="C2020" s="30" t="s">
        <v>2609</v>
      </c>
      <c r="D2020" s="14" t="s">
        <v>422</v>
      </c>
    </row>
    <row r="2021" spans="1:4" ht="19.5" customHeight="1">
      <c r="A2021" s="9"/>
      <c r="B2021" s="38" t="s">
        <v>2683</v>
      </c>
      <c r="C2021" s="34" t="s">
        <v>2608</v>
      </c>
      <c r="D2021" s="14" t="s">
        <v>2109</v>
      </c>
    </row>
    <row r="2022" spans="1:4" ht="19.5" customHeight="1">
      <c r="A2022" s="9"/>
      <c r="B2022" s="38" t="s">
        <v>2694</v>
      </c>
      <c r="C2022" s="34" t="s">
        <v>2608</v>
      </c>
      <c r="D2022" s="14" t="s">
        <v>1846</v>
      </c>
    </row>
    <row r="2023" spans="1:4" ht="19.5" customHeight="1">
      <c r="A2023" s="9"/>
      <c r="B2023" s="38" t="s">
        <v>2685</v>
      </c>
      <c r="C2023" s="34" t="s">
        <v>2608</v>
      </c>
      <c r="D2023" s="14" t="s">
        <v>438</v>
      </c>
    </row>
    <row r="2024" spans="1:4" ht="19.5" customHeight="1">
      <c r="A2024" s="9"/>
      <c r="B2024" s="38" t="s">
        <v>2672</v>
      </c>
      <c r="C2024" s="34" t="s">
        <v>2608</v>
      </c>
      <c r="D2024" s="14" t="s">
        <v>2673</v>
      </c>
    </row>
    <row r="2025" spans="1:4" ht="19.5" customHeight="1">
      <c r="A2025" s="9"/>
      <c r="B2025" s="38" t="s">
        <v>2674</v>
      </c>
      <c r="C2025" s="36">
        <v>12</v>
      </c>
      <c r="D2025" s="14" t="s">
        <v>2377</v>
      </c>
    </row>
    <row r="2026" spans="1:4" ht="19.5" customHeight="1">
      <c r="A2026" s="9"/>
      <c r="B2026" s="38" t="s">
        <v>2617</v>
      </c>
      <c r="C2026" s="36">
        <v>3</v>
      </c>
      <c r="D2026" s="14" t="s">
        <v>2293</v>
      </c>
    </row>
    <row r="2027" spans="1:4" ht="19.5" customHeight="1">
      <c r="A2027" s="9"/>
      <c r="B2027" s="38" t="s">
        <v>2695</v>
      </c>
      <c r="C2027" s="36">
        <v>2</v>
      </c>
      <c r="D2027" s="14" t="s">
        <v>1111</v>
      </c>
    </row>
    <row r="2028" spans="1:4" ht="19.5" customHeight="1">
      <c r="A2028" s="9"/>
      <c r="B2028" s="38" t="s">
        <v>2686</v>
      </c>
      <c r="C2028" s="36">
        <v>1</v>
      </c>
      <c r="D2028" s="14" t="s">
        <v>2587</v>
      </c>
    </row>
    <row r="2029" spans="1:4" ht="19.5" customHeight="1">
      <c r="A2029" s="9"/>
      <c r="B2029" s="38" t="s">
        <v>2675</v>
      </c>
      <c r="C2029" s="36">
        <v>4</v>
      </c>
      <c r="D2029" s="14" t="s">
        <v>1105</v>
      </c>
    </row>
    <row r="2030" spans="1:4" ht="19.5" customHeight="1">
      <c r="A2030" s="9"/>
      <c r="B2030" s="38" t="s">
        <v>2687</v>
      </c>
      <c r="C2030" s="36">
        <v>4</v>
      </c>
      <c r="D2030" s="14" t="s">
        <v>1103</v>
      </c>
    </row>
    <row r="2031" spans="1:4" ht="19.5" customHeight="1">
      <c r="A2031" s="9"/>
      <c r="B2031" s="38" t="s">
        <v>2688</v>
      </c>
      <c r="C2031" s="36">
        <v>2</v>
      </c>
      <c r="D2031" s="14" t="s">
        <v>1119</v>
      </c>
    </row>
    <row r="2032" spans="1:4" ht="19.5" customHeight="1">
      <c r="A2032" s="9"/>
      <c r="B2032" s="38" t="s">
        <v>2689</v>
      </c>
      <c r="C2032" s="36">
        <v>2</v>
      </c>
      <c r="D2032" s="14" t="s">
        <v>1117</v>
      </c>
    </row>
    <row r="2033" spans="1:4" ht="19.5" customHeight="1">
      <c r="A2033" s="9"/>
      <c r="B2033" s="39" t="s">
        <v>2698</v>
      </c>
      <c r="C2033" s="32">
        <v>1</v>
      </c>
      <c r="D2033" s="14" t="s">
        <v>540</v>
      </c>
    </row>
    <row r="2034" spans="1:4" ht="19.5" customHeight="1">
      <c r="A2034" s="9"/>
      <c r="B2034" s="39" t="s">
        <v>2676</v>
      </c>
      <c r="C2034" s="32">
        <v>2</v>
      </c>
      <c r="D2034" s="14" t="s">
        <v>530</v>
      </c>
    </row>
    <row r="2035" spans="1:4" ht="19.5" customHeight="1">
      <c r="A2035" s="35"/>
      <c r="B2035" s="38"/>
      <c r="C2035" s="36"/>
      <c r="D2035" s="14"/>
    </row>
    <row r="2036" spans="1:4" ht="19.5" customHeight="1">
      <c r="A2036" s="35"/>
      <c r="B2036" s="38"/>
      <c r="C2036" s="36"/>
      <c r="D2036" s="14"/>
    </row>
    <row r="2037" spans="1:4" ht="19.5" customHeight="1">
      <c r="A2037" s="35"/>
      <c r="B2037" s="38"/>
      <c r="C2037" s="36"/>
      <c r="D2037" s="14"/>
    </row>
    <row r="2038" spans="1:4" ht="19.5" customHeight="1">
      <c r="A2038" s="35"/>
      <c r="B2038" s="38"/>
      <c r="C2038" s="36"/>
      <c r="D2038" s="14"/>
    </row>
    <row r="2039" spans="1:4" ht="19.5" customHeight="1">
      <c r="A2039" s="9" t="s">
        <v>1484</v>
      </c>
      <c r="B2039" s="37" t="s">
        <v>2680</v>
      </c>
      <c r="C2039" s="34" t="s">
        <v>2608</v>
      </c>
      <c r="D2039" s="14" t="s">
        <v>2232</v>
      </c>
    </row>
    <row r="2040" spans="1:4" ht="19.5" customHeight="1">
      <c r="A2040" s="9"/>
      <c r="B2040" s="38" t="s">
        <v>420</v>
      </c>
      <c r="C2040" s="30" t="s">
        <v>2609</v>
      </c>
      <c r="D2040" s="14" t="s">
        <v>422</v>
      </c>
    </row>
    <row r="2041" spans="1:4" ht="19.5" customHeight="1">
      <c r="A2041" s="9"/>
      <c r="B2041" s="38" t="s">
        <v>420</v>
      </c>
      <c r="C2041" s="30" t="s">
        <v>2670</v>
      </c>
      <c r="D2041" s="14" t="s">
        <v>422</v>
      </c>
    </row>
    <row r="2042" spans="1:4" ht="19.5" customHeight="1">
      <c r="A2042" s="9"/>
      <c r="B2042" s="38" t="s">
        <v>420</v>
      </c>
      <c r="C2042" s="30" t="s">
        <v>2609</v>
      </c>
      <c r="D2042" s="14" t="s">
        <v>422</v>
      </c>
    </row>
    <row r="2043" spans="1:4" ht="19.5" customHeight="1">
      <c r="A2043" s="9"/>
      <c r="B2043" s="38" t="s">
        <v>420</v>
      </c>
      <c r="C2043" s="30" t="s">
        <v>2609</v>
      </c>
      <c r="D2043" s="14" t="s">
        <v>422</v>
      </c>
    </row>
    <row r="2044" spans="1:4" ht="19.5" customHeight="1">
      <c r="A2044" s="9"/>
      <c r="B2044" s="38" t="s">
        <v>420</v>
      </c>
      <c r="C2044" s="30" t="s">
        <v>2609</v>
      </c>
      <c r="D2044" s="14" t="s">
        <v>422</v>
      </c>
    </row>
    <row r="2045" spans="1:4" ht="19.5" customHeight="1">
      <c r="A2045" s="9"/>
      <c r="B2045" s="38" t="s">
        <v>2683</v>
      </c>
      <c r="C2045" s="34" t="s">
        <v>2608</v>
      </c>
      <c r="D2045" s="14" t="s">
        <v>2109</v>
      </c>
    </row>
    <row r="2046" spans="1:4" ht="19.5" customHeight="1">
      <c r="A2046" s="9"/>
      <c r="B2046" s="38" t="s">
        <v>2694</v>
      </c>
      <c r="C2046" s="34" t="s">
        <v>2608</v>
      </c>
      <c r="D2046" s="14" t="s">
        <v>1846</v>
      </c>
    </row>
    <row r="2047" spans="1:4" ht="19.5" customHeight="1">
      <c r="A2047" s="9"/>
      <c r="B2047" s="38" t="s">
        <v>2685</v>
      </c>
      <c r="C2047" s="34" t="s">
        <v>2608</v>
      </c>
      <c r="D2047" s="14" t="s">
        <v>438</v>
      </c>
    </row>
    <row r="2048" spans="1:4" ht="19.5" customHeight="1">
      <c r="A2048" s="9"/>
      <c r="B2048" s="38" t="s">
        <v>2672</v>
      </c>
      <c r="C2048" s="34" t="s">
        <v>2608</v>
      </c>
      <c r="D2048" s="14" t="s">
        <v>2673</v>
      </c>
    </row>
    <row r="2049" spans="1:4" ht="19.5" customHeight="1">
      <c r="A2049" s="9"/>
      <c r="B2049" s="38" t="s">
        <v>2674</v>
      </c>
      <c r="C2049" s="36">
        <v>12</v>
      </c>
      <c r="D2049" s="14" t="s">
        <v>2377</v>
      </c>
    </row>
    <row r="2050" spans="1:4" ht="19.5" customHeight="1">
      <c r="A2050" s="9"/>
      <c r="B2050" s="38" t="s">
        <v>2617</v>
      </c>
      <c r="C2050" s="36">
        <v>3</v>
      </c>
      <c r="D2050" s="14" t="s">
        <v>2293</v>
      </c>
    </row>
    <row r="2051" spans="1:4" ht="19.5" customHeight="1">
      <c r="A2051" s="9"/>
      <c r="B2051" s="38" t="s">
        <v>2695</v>
      </c>
      <c r="C2051" s="36">
        <v>2</v>
      </c>
      <c r="D2051" s="14" t="s">
        <v>1111</v>
      </c>
    </row>
    <row r="2052" spans="1:4" ht="19.5" customHeight="1">
      <c r="A2052" s="9"/>
      <c r="B2052" s="38" t="s">
        <v>2686</v>
      </c>
      <c r="C2052" s="36">
        <v>1</v>
      </c>
      <c r="D2052" s="14" t="s">
        <v>2587</v>
      </c>
    </row>
    <row r="2053" spans="1:4" ht="19.5" customHeight="1">
      <c r="A2053" s="9"/>
      <c r="B2053" s="38" t="s">
        <v>2675</v>
      </c>
      <c r="C2053" s="36">
        <v>4</v>
      </c>
      <c r="D2053" s="14" t="s">
        <v>1105</v>
      </c>
    </row>
    <row r="2054" spans="1:4" ht="19.5" customHeight="1">
      <c r="A2054" s="9"/>
      <c r="B2054" s="38" t="s">
        <v>2687</v>
      </c>
      <c r="C2054" s="36">
        <v>4</v>
      </c>
      <c r="D2054" s="14" t="s">
        <v>1103</v>
      </c>
    </row>
    <row r="2055" spans="1:4" ht="19.5" customHeight="1">
      <c r="A2055" s="9"/>
      <c r="B2055" s="38" t="s">
        <v>2688</v>
      </c>
      <c r="C2055" s="36">
        <v>2</v>
      </c>
      <c r="D2055" s="14" t="s">
        <v>1119</v>
      </c>
    </row>
    <row r="2056" spans="1:4" ht="19.5" customHeight="1">
      <c r="A2056" s="9"/>
      <c r="B2056" s="38" t="s">
        <v>2689</v>
      </c>
      <c r="C2056" s="36">
        <v>2</v>
      </c>
      <c r="D2056" s="14" t="s">
        <v>1117</v>
      </c>
    </row>
    <row r="2057" spans="1:4" ht="19.5" customHeight="1">
      <c r="A2057" s="9"/>
      <c r="B2057" s="39" t="s">
        <v>2698</v>
      </c>
      <c r="C2057" s="32">
        <v>1</v>
      </c>
      <c r="D2057" s="14" t="s">
        <v>540</v>
      </c>
    </row>
    <row r="2058" spans="1:4" ht="19.5" customHeight="1">
      <c r="A2058" s="9"/>
      <c r="B2058" s="39" t="s">
        <v>2676</v>
      </c>
      <c r="C2058" s="32">
        <v>2</v>
      </c>
      <c r="D2058" s="14" t="s">
        <v>530</v>
      </c>
    </row>
    <row r="2059" spans="1:4" ht="19.5" customHeight="1">
      <c r="A2059" s="9" t="s">
        <v>1486</v>
      </c>
      <c r="B2059" s="37" t="s">
        <v>2678</v>
      </c>
      <c r="C2059" s="34" t="s">
        <v>2608</v>
      </c>
      <c r="D2059" s="14" t="s">
        <v>2240</v>
      </c>
    </row>
    <row r="2060" spans="1:4" ht="15" customHeight="1">
      <c r="A2060" s="9"/>
      <c r="B2060" s="38" t="s">
        <v>2690</v>
      </c>
      <c r="C2060" s="30" t="s">
        <v>2609</v>
      </c>
      <c r="D2060" s="14" t="s">
        <v>426</v>
      </c>
    </row>
    <row r="2061" spans="1:4" ht="15" customHeight="1">
      <c r="A2061" s="9"/>
      <c r="B2061" s="38" t="s">
        <v>420</v>
      </c>
      <c r="C2061" s="30" t="s">
        <v>2609</v>
      </c>
      <c r="D2061" s="14" t="s">
        <v>422</v>
      </c>
    </row>
    <row r="2062" spans="1:4" ht="19.5" customHeight="1">
      <c r="A2062" s="9"/>
      <c r="B2062" s="38" t="s">
        <v>420</v>
      </c>
      <c r="C2062" s="30" t="s">
        <v>2670</v>
      </c>
      <c r="D2062" s="14" t="s">
        <v>422</v>
      </c>
    </row>
    <row r="2063" spans="1:4" ht="15" customHeight="1">
      <c r="A2063" s="9"/>
      <c r="B2063" s="38" t="s">
        <v>420</v>
      </c>
      <c r="C2063" s="30" t="s">
        <v>2609</v>
      </c>
      <c r="D2063" s="14" t="s">
        <v>422</v>
      </c>
    </row>
    <row r="2064" spans="1:4" ht="15" customHeight="1">
      <c r="A2064" s="9"/>
      <c r="B2064" s="38" t="s">
        <v>420</v>
      </c>
      <c r="C2064" s="30" t="s">
        <v>2609</v>
      </c>
      <c r="D2064" s="14" t="s">
        <v>422</v>
      </c>
    </row>
    <row r="2065" spans="1:4" ht="15" customHeight="1">
      <c r="A2065" s="9"/>
      <c r="B2065" s="38" t="s">
        <v>2683</v>
      </c>
      <c r="C2065" s="34" t="s">
        <v>2608</v>
      </c>
      <c r="D2065" s="14" t="s">
        <v>2109</v>
      </c>
    </row>
    <row r="2066" spans="1:4" ht="15" customHeight="1">
      <c r="A2066" s="9"/>
      <c r="B2066" s="38" t="s">
        <v>2694</v>
      </c>
      <c r="C2066" s="34" t="s">
        <v>2608</v>
      </c>
      <c r="D2066" s="14" t="s">
        <v>1846</v>
      </c>
    </row>
    <row r="2067" spans="1:4" ht="15" customHeight="1">
      <c r="A2067" s="9"/>
      <c r="B2067" s="38" t="s">
        <v>2685</v>
      </c>
      <c r="C2067" s="34" t="s">
        <v>2608</v>
      </c>
      <c r="D2067" s="14" t="s">
        <v>438</v>
      </c>
    </row>
    <row r="2068" spans="1:4" ht="15" customHeight="1">
      <c r="A2068" s="9"/>
      <c r="B2068" s="38" t="s">
        <v>2672</v>
      </c>
      <c r="C2068" s="34" t="s">
        <v>2608</v>
      </c>
      <c r="D2068" s="14" t="s">
        <v>2673</v>
      </c>
    </row>
    <row r="2069" spans="1:4" ht="15" customHeight="1">
      <c r="A2069" s="9"/>
      <c r="B2069" s="38" t="s">
        <v>2674</v>
      </c>
      <c r="C2069" s="36">
        <v>12</v>
      </c>
      <c r="D2069" s="14" t="s">
        <v>2377</v>
      </c>
    </row>
    <row r="2070" spans="1:4" ht="15" customHeight="1">
      <c r="A2070" s="9"/>
      <c r="B2070" s="38" t="s">
        <v>2617</v>
      </c>
      <c r="C2070" s="36">
        <v>3</v>
      </c>
      <c r="D2070" s="14" t="s">
        <v>2293</v>
      </c>
    </row>
    <row r="2071" spans="1:4" ht="15" customHeight="1">
      <c r="A2071" s="9"/>
      <c r="B2071" s="38" t="s">
        <v>2695</v>
      </c>
      <c r="C2071" s="36">
        <v>2</v>
      </c>
      <c r="D2071" s="14" t="s">
        <v>1111</v>
      </c>
    </row>
    <row r="2072" spans="1:4" ht="15" customHeight="1">
      <c r="A2072" s="9"/>
      <c r="B2072" s="38" t="s">
        <v>2686</v>
      </c>
      <c r="C2072" s="36">
        <v>1</v>
      </c>
      <c r="D2072" s="14" t="s">
        <v>2587</v>
      </c>
    </row>
    <row r="2073" spans="1:4" ht="15" customHeight="1">
      <c r="A2073" s="9"/>
      <c r="B2073" s="38" t="s">
        <v>2675</v>
      </c>
      <c r="C2073" s="36">
        <v>4</v>
      </c>
      <c r="D2073" s="14" t="s">
        <v>1105</v>
      </c>
    </row>
    <row r="2074" spans="1:4" ht="15" customHeight="1">
      <c r="A2074" s="9"/>
      <c r="B2074" s="38" t="s">
        <v>2687</v>
      </c>
      <c r="C2074" s="36">
        <v>4</v>
      </c>
      <c r="D2074" s="14" t="s">
        <v>1103</v>
      </c>
    </row>
    <row r="2075" spans="1:4" ht="15" customHeight="1">
      <c r="A2075" s="9"/>
      <c r="B2075" s="38" t="s">
        <v>2688</v>
      </c>
      <c r="C2075" s="36">
        <v>2</v>
      </c>
      <c r="D2075" s="14" t="s">
        <v>1119</v>
      </c>
    </row>
    <row r="2076" spans="1:4" ht="15.75" customHeight="1">
      <c r="A2076" s="9"/>
      <c r="B2076" s="38" t="s">
        <v>2689</v>
      </c>
      <c r="C2076" s="36">
        <v>2</v>
      </c>
      <c r="D2076" s="14" t="s">
        <v>1117</v>
      </c>
    </row>
    <row r="2077" spans="1:4" ht="15.75" customHeight="1">
      <c r="A2077" s="9"/>
      <c r="B2077" s="39" t="s">
        <v>2698</v>
      </c>
      <c r="C2077" s="32">
        <v>1</v>
      </c>
      <c r="D2077" s="14" t="s">
        <v>540</v>
      </c>
    </row>
    <row r="2078" spans="1:4" ht="19.5" customHeight="1">
      <c r="A2078" s="9"/>
      <c r="B2078" s="39" t="s">
        <v>2676</v>
      </c>
      <c r="C2078" s="32">
        <v>2</v>
      </c>
      <c r="D2078" s="14" t="s">
        <v>530</v>
      </c>
    </row>
    <row r="2079" spans="1:4" ht="19.5" customHeight="1">
      <c r="A2079" s="35"/>
      <c r="B2079" s="38"/>
      <c r="C2079" s="36"/>
      <c r="D2079" s="14"/>
    </row>
    <row r="2080" spans="1:4" ht="19.5" customHeight="1">
      <c r="A2080" s="35"/>
      <c r="B2080" s="38"/>
      <c r="C2080" s="36"/>
      <c r="D2080" s="14"/>
    </row>
    <row r="2081" spans="1:4" ht="19.5" customHeight="1">
      <c r="A2081" s="35"/>
      <c r="B2081" s="38"/>
      <c r="C2081" s="36"/>
      <c r="D2081" s="14"/>
    </row>
    <row r="2082" spans="1:4" ht="19.5" customHeight="1">
      <c r="A2082" s="35"/>
      <c r="B2082" s="38"/>
      <c r="C2082" s="36"/>
      <c r="D2082" s="14"/>
    </row>
    <row r="2083" spans="1:4" ht="19.5" customHeight="1">
      <c r="A2083" s="35"/>
      <c r="B2083" s="38"/>
      <c r="C2083" s="36"/>
      <c r="D2083" s="14"/>
    </row>
    <row r="2084" spans="1:4" ht="19.5" customHeight="1">
      <c r="A2084" s="35"/>
      <c r="B2084" s="38"/>
      <c r="C2084" s="36"/>
      <c r="D2084" s="14"/>
    </row>
    <row r="2085" spans="1:4" ht="19.5" customHeight="1">
      <c r="A2085" s="8" t="s">
        <v>1488</v>
      </c>
      <c r="B2085" s="37" t="s">
        <v>2669</v>
      </c>
      <c r="C2085" s="34" t="s">
        <v>2608</v>
      </c>
      <c r="D2085" s="14" t="s">
        <v>2096</v>
      </c>
    </row>
    <row r="2086" spans="1:4" ht="19.5" customHeight="1">
      <c r="A2086" s="8"/>
      <c r="B2086" s="38" t="s">
        <v>420</v>
      </c>
      <c r="C2086" s="30" t="s">
        <v>2609</v>
      </c>
      <c r="D2086" s="14" t="s">
        <v>422</v>
      </c>
    </row>
    <row r="2087" spans="1:4" ht="19.5" customHeight="1">
      <c r="A2087" s="8"/>
      <c r="B2087" s="38" t="s">
        <v>420</v>
      </c>
      <c r="C2087" s="30" t="s">
        <v>2670</v>
      </c>
      <c r="D2087" s="14" t="s">
        <v>422</v>
      </c>
    </row>
    <row r="2088" spans="1:4" ht="19.5" customHeight="1">
      <c r="A2088" s="8"/>
      <c r="B2088" s="38" t="s">
        <v>420</v>
      </c>
      <c r="C2088" s="30" t="s">
        <v>2609</v>
      </c>
      <c r="D2088" s="14" t="s">
        <v>422</v>
      </c>
    </row>
    <row r="2089" spans="1:4" ht="19.5" customHeight="1">
      <c r="A2089" s="8"/>
      <c r="B2089" s="38" t="s">
        <v>420</v>
      </c>
      <c r="C2089" s="30" t="s">
        <v>2609</v>
      </c>
      <c r="D2089" s="14" t="s">
        <v>422</v>
      </c>
    </row>
    <row r="2090" spans="1:4" ht="19.5" customHeight="1">
      <c r="A2090" s="8"/>
      <c r="B2090" s="38" t="s">
        <v>420</v>
      </c>
      <c r="C2090" s="30" t="s">
        <v>2609</v>
      </c>
      <c r="D2090" s="14" t="s">
        <v>422</v>
      </c>
    </row>
    <row r="2091" spans="1:4" ht="19.5" customHeight="1">
      <c r="A2091" s="8"/>
      <c r="B2091" s="38" t="s">
        <v>2683</v>
      </c>
      <c r="C2091" s="34" t="s">
        <v>2608</v>
      </c>
      <c r="D2091" s="14" t="s">
        <v>2109</v>
      </c>
    </row>
    <row r="2092" spans="1:4" ht="19.5" customHeight="1">
      <c r="A2092" s="8"/>
      <c r="B2092" s="38" t="s">
        <v>2694</v>
      </c>
      <c r="C2092" s="34" t="s">
        <v>2608</v>
      </c>
      <c r="D2092" s="14" t="s">
        <v>1846</v>
      </c>
    </row>
    <row r="2093" spans="1:4" ht="19.5" customHeight="1">
      <c r="A2093" s="8"/>
      <c r="B2093" s="38" t="s">
        <v>2685</v>
      </c>
      <c r="C2093" s="34" t="s">
        <v>2608</v>
      </c>
      <c r="D2093" s="14" t="s">
        <v>438</v>
      </c>
    </row>
    <row r="2094" spans="1:4" ht="19.5" customHeight="1">
      <c r="A2094" s="8"/>
      <c r="B2094" s="38" t="s">
        <v>2672</v>
      </c>
      <c r="C2094" s="34" t="s">
        <v>2608</v>
      </c>
      <c r="D2094" s="14" t="s">
        <v>2673</v>
      </c>
    </row>
    <row r="2095" spans="1:4" ht="19.5" customHeight="1">
      <c r="A2095" s="8"/>
      <c r="B2095" s="38" t="s">
        <v>2617</v>
      </c>
      <c r="C2095" s="36">
        <v>2</v>
      </c>
      <c r="D2095" s="14" t="s">
        <v>2293</v>
      </c>
    </row>
    <row r="2096" spans="1:4" ht="19.5" customHeight="1">
      <c r="A2096" s="8"/>
      <c r="B2096" s="38" t="s">
        <v>2695</v>
      </c>
      <c r="C2096" s="36">
        <v>2</v>
      </c>
      <c r="D2096" s="14" t="s">
        <v>1111</v>
      </c>
    </row>
    <row r="2097" spans="1:4" ht="19.5" customHeight="1">
      <c r="A2097" s="8"/>
      <c r="B2097" s="38" t="s">
        <v>2686</v>
      </c>
      <c r="C2097" s="36">
        <v>1</v>
      </c>
      <c r="D2097" s="14" t="s">
        <v>2587</v>
      </c>
    </row>
    <row r="2098" spans="1:4" ht="19.5" customHeight="1">
      <c r="A2098" s="8"/>
      <c r="B2098" s="38" t="s">
        <v>2702</v>
      </c>
      <c r="C2098" s="36">
        <v>1</v>
      </c>
      <c r="D2098" s="14" t="s">
        <v>708</v>
      </c>
    </row>
    <row r="2099" spans="1:4" ht="19.5" customHeight="1">
      <c r="A2099" s="8" t="s">
        <v>1490</v>
      </c>
      <c r="B2099" s="37" t="s">
        <v>2680</v>
      </c>
      <c r="C2099" s="34" t="s">
        <v>2608</v>
      </c>
      <c r="D2099" s="14" t="s">
        <v>2232</v>
      </c>
    </row>
    <row r="2100" spans="1:4" ht="19.5" customHeight="1">
      <c r="A2100" s="8"/>
      <c r="B2100" s="38" t="s">
        <v>420</v>
      </c>
      <c r="C2100" s="30" t="s">
        <v>2609</v>
      </c>
      <c r="D2100" s="14" t="s">
        <v>422</v>
      </c>
    </row>
    <row r="2101" spans="1:4" ht="19.5" customHeight="1">
      <c r="A2101" s="8"/>
      <c r="B2101" s="38" t="s">
        <v>420</v>
      </c>
      <c r="C2101" s="30" t="s">
        <v>2670</v>
      </c>
      <c r="D2101" s="14" t="s">
        <v>422</v>
      </c>
    </row>
    <row r="2102" spans="1:4" ht="19.5" customHeight="1">
      <c r="A2102" s="8"/>
      <c r="B2102" s="38" t="s">
        <v>420</v>
      </c>
      <c r="C2102" s="30" t="s">
        <v>2609</v>
      </c>
      <c r="D2102" s="14" t="s">
        <v>422</v>
      </c>
    </row>
    <row r="2103" spans="1:4" ht="19.5" customHeight="1">
      <c r="A2103" s="8"/>
      <c r="B2103" s="38" t="s">
        <v>420</v>
      </c>
      <c r="C2103" s="30" t="s">
        <v>2609</v>
      </c>
      <c r="D2103" s="14" t="s">
        <v>422</v>
      </c>
    </row>
    <row r="2104" spans="1:4" ht="19.5" customHeight="1">
      <c r="A2104" s="8"/>
      <c r="B2104" s="38" t="s">
        <v>420</v>
      </c>
      <c r="C2104" s="30" t="s">
        <v>2609</v>
      </c>
      <c r="D2104" s="14" t="s">
        <v>422</v>
      </c>
    </row>
    <row r="2105" spans="1:4" ht="19.5" customHeight="1">
      <c r="A2105" s="8"/>
      <c r="B2105" s="38" t="s">
        <v>2683</v>
      </c>
      <c r="C2105" s="34" t="s">
        <v>2608</v>
      </c>
      <c r="D2105" s="14" t="s">
        <v>2109</v>
      </c>
    </row>
    <row r="2106" spans="1:4" ht="19.5" customHeight="1">
      <c r="A2106" s="8"/>
      <c r="B2106" s="38" t="s">
        <v>2694</v>
      </c>
      <c r="C2106" s="34" t="s">
        <v>2608</v>
      </c>
      <c r="D2106" s="14" t="s">
        <v>1846</v>
      </c>
    </row>
    <row r="2107" spans="1:4" ht="19.5" customHeight="1">
      <c r="A2107" s="8"/>
      <c r="B2107" s="38" t="s">
        <v>2685</v>
      </c>
      <c r="C2107" s="34" t="s">
        <v>2608</v>
      </c>
      <c r="D2107" s="14" t="s">
        <v>438</v>
      </c>
    </row>
    <row r="2108" spans="1:4" ht="19.5" customHeight="1">
      <c r="A2108" s="8"/>
      <c r="B2108" s="38" t="s">
        <v>2672</v>
      </c>
      <c r="C2108" s="34" t="s">
        <v>2608</v>
      </c>
      <c r="D2108" s="14" t="s">
        <v>2673</v>
      </c>
    </row>
    <row r="2109" spans="1:4" ht="19.5" customHeight="1">
      <c r="A2109" s="8"/>
      <c r="B2109" s="38" t="s">
        <v>2617</v>
      </c>
      <c r="C2109" s="36">
        <v>2</v>
      </c>
      <c r="D2109" s="14" t="s">
        <v>2293</v>
      </c>
    </row>
    <row r="2110" spans="1:4" ht="19.5" customHeight="1">
      <c r="A2110" s="8"/>
      <c r="B2110" s="38" t="s">
        <v>2695</v>
      </c>
      <c r="C2110" s="36">
        <v>2</v>
      </c>
      <c r="D2110" s="14" t="s">
        <v>1111</v>
      </c>
    </row>
    <row r="2111" spans="1:4" ht="19.5" customHeight="1">
      <c r="A2111" s="8"/>
      <c r="B2111" s="38" t="s">
        <v>2686</v>
      </c>
      <c r="C2111" s="36">
        <v>1</v>
      </c>
      <c r="D2111" s="14" t="s">
        <v>2587</v>
      </c>
    </row>
    <row r="2112" spans="1:4" ht="19.5" customHeight="1">
      <c r="A2112" s="8"/>
      <c r="B2112" s="38" t="s">
        <v>2702</v>
      </c>
      <c r="C2112" s="36">
        <v>1</v>
      </c>
      <c r="D2112" s="14" t="s">
        <v>708</v>
      </c>
    </row>
    <row r="2113" spans="1:4" ht="19.5" customHeight="1">
      <c r="A2113" s="35"/>
      <c r="B2113" s="38"/>
      <c r="C2113" s="36"/>
      <c r="D2113" s="14"/>
    </row>
    <row r="2114" spans="1:4" ht="19.5" customHeight="1">
      <c r="A2114" s="35"/>
      <c r="B2114" s="38"/>
      <c r="C2114" s="36"/>
      <c r="D2114" s="14"/>
    </row>
    <row r="2115" spans="1:4" ht="19.5" customHeight="1">
      <c r="A2115" s="35"/>
      <c r="B2115" s="38"/>
      <c r="C2115" s="36"/>
      <c r="D2115" s="14"/>
    </row>
    <row r="2116" spans="1:4" ht="19.5" customHeight="1">
      <c r="A2116" s="35"/>
      <c r="B2116" s="38"/>
      <c r="C2116" s="36"/>
      <c r="D2116" s="14"/>
    </row>
    <row r="2117" spans="1:4" ht="19.5" customHeight="1">
      <c r="A2117" s="35"/>
      <c r="B2117" s="38"/>
      <c r="C2117" s="36"/>
      <c r="D2117" s="14"/>
    </row>
    <row r="2118" spans="1:4" ht="19.5" customHeight="1">
      <c r="A2118" s="8" t="s">
        <v>1492</v>
      </c>
      <c r="B2118" s="37" t="s">
        <v>2678</v>
      </c>
      <c r="C2118" s="34" t="s">
        <v>2608</v>
      </c>
      <c r="D2118" s="14" t="s">
        <v>2240</v>
      </c>
    </row>
    <row r="2119" spans="1:4" ht="19.5" customHeight="1">
      <c r="A2119" s="8"/>
      <c r="B2119" s="38" t="s">
        <v>420</v>
      </c>
      <c r="C2119" s="30" t="s">
        <v>2609</v>
      </c>
      <c r="D2119" s="14" t="s">
        <v>422</v>
      </c>
    </row>
    <row r="2120" spans="1:4" ht="19.5" customHeight="1">
      <c r="A2120" s="8"/>
      <c r="B2120" s="38" t="s">
        <v>420</v>
      </c>
      <c r="C2120" s="30" t="s">
        <v>2670</v>
      </c>
      <c r="D2120" s="14" t="s">
        <v>422</v>
      </c>
    </row>
    <row r="2121" spans="1:4" ht="19.5" customHeight="1">
      <c r="A2121" s="8"/>
      <c r="B2121" s="38" t="s">
        <v>420</v>
      </c>
      <c r="C2121" s="30" t="s">
        <v>2609</v>
      </c>
      <c r="D2121" s="14" t="s">
        <v>422</v>
      </c>
    </row>
    <row r="2122" spans="1:4" ht="19.5" customHeight="1">
      <c r="A2122" s="8"/>
      <c r="B2122" s="38" t="s">
        <v>420</v>
      </c>
      <c r="C2122" s="30" t="s">
        <v>2609</v>
      </c>
      <c r="D2122" s="14" t="s">
        <v>422</v>
      </c>
    </row>
    <row r="2123" spans="1:4" ht="19.5" customHeight="1">
      <c r="A2123" s="8"/>
      <c r="B2123" s="38" t="s">
        <v>420</v>
      </c>
      <c r="C2123" s="30" t="s">
        <v>2609</v>
      </c>
      <c r="D2123" s="14" t="s">
        <v>422</v>
      </c>
    </row>
    <row r="2124" spans="1:4" ht="19.5" customHeight="1">
      <c r="A2124" s="8"/>
      <c r="B2124" s="38" t="s">
        <v>2683</v>
      </c>
      <c r="C2124" s="34" t="s">
        <v>2608</v>
      </c>
      <c r="D2124" s="14" t="s">
        <v>2109</v>
      </c>
    </row>
    <row r="2125" spans="1:4" ht="19.5" customHeight="1">
      <c r="A2125" s="8"/>
      <c r="B2125" s="38" t="s">
        <v>2694</v>
      </c>
      <c r="C2125" s="34" t="s">
        <v>2608</v>
      </c>
      <c r="D2125" s="14" t="s">
        <v>1846</v>
      </c>
    </row>
    <row r="2126" spans="1:4" ht="19.5" customHeight="1">
      <c r="A2126" s="8"/>
      <c r="B2126" s="38" t="s">
        <v>2685</v>
      </c>
      <c r="C2126" s="34" t="s">
        <v>2608</v>
      </c>
      <c r="D2126" s="14" t="s">
        <v>438</v>
      </c>
    </row>
    <row r="2127" spans="1:4" ht="19.5" customHeight="1">
      <c r="A2127" s="8"/>
      <c r="B2127" s="38" t="s">
        <v>2672</v>
      </c>
      <c r="C2127" s="34" t="s">
        <v>2608</v>
      </c>
      <c r="D2127" s="14" t="s">
        <v>2673</v>
      </c>
    </row>
    <row r="2128" spans="1:4" ht="19.5" customHeight="1">
      <c r="A2128" s="8"/>
      <c r="B2128" s="38" t="s">
        <v>2617</v>
      </c>
      <c r="C2128" s="36">
        <v>2</v>
      </c>
      <c r="D2128" s="14" t="s">
        <v>2293</v>
      </c>
    </row>
    <row r="2129" spans="1:4" ht="19.5" customHeight="1">
      <c r="A2129" s="8"/>
      <c r="B2129" s="38" t="s">
        <v>2695</v>
      </c>
      <c r="C2129" s="36">
        <v>2</v>
      </c>
      <c r="D2129" s="14" t="s">
        <v>1111</v>
      </c>
    </row>
    <row r="2130" spans="1:4" ht="19.5" customHeight="1">
      <c r="A2130" s="8"/>
      <c r="B2130" s="38" t="s">
        <v>2686</v>
      </c>
      <c r="C2130" s="36">
        <v>1</v>
      </c>
      <c r="D2130" s="14" t="s">
        <v>2587</v>
      </c>
    </row>
    <row r="2131" spans="1:4" ht="19.5" customHeight="1">
      <c r="A2131" s="8"/>
      <c r="B2131" s="38" t="s">
        <v>2702</v>
      </c>
      <c r="C2131" s="36">
        <v>1</v>
      </c>
      <c r="D2131" s="14" t="s">
        <v>708</v>
      </c>
    </row>
    <row r="2132" spans="1:4" ht="19.5" customHeight="1">
      <c r="A2132" s="8" t="s">
        <v>1494</v>
      </c>
      <c r="B2132" s="37" t="s">
        <v>2669</v>
      </c>
      <c r="C2132" s="34" t="s">
        <v>2608</v>
      </c>
      <c r="D2132" s="14" t="s">
        <v>2096</v>
      </c>
    </row>
    <row r="2133" spans="1:4" ht="19.5" customHeight="1">
      <c r="A2133" s="8"/>
      <c r="B2133" s="38" t="s">
        <v>420</v>
      </c>
      <c r="C2133" s="30" t="s">
        <v>2670</v>
      </c>
      <c r="D2133" s="14" t="s">
        <v>422</v>
      </c>
    </row>
    <row r="2134" spans="1:4" ht="19.5" customHeight="1">
      <c r="A2134" s="8"/>
      <c r="B2134" s="38" t="s">
        <v>420</v>
      </c>
      <c r="C2134" s="30" t="s">
        <v>2609</v>
      </c>
      <c r="D2134" s="14" t="s">
        <v>422</v>
      </c>
    </row>
    <row r="2135" spans="1:4" ht="19.5" customHeight="1">
      <c r="A2135" s="8"/>
      <c r="B2135" s="38" t="s">
        <v>420</v>
      </c>
      <c r="C2135" s="30" t="s">
        <v>2609</v>
      </c>
      <c r="D2135" s="14" t="s">
        <v>422</v>
      </c>
    </row>
    <row r="2136" spans="1:4" ht="19.5" customHeight="1">
      <c r="A2136" s="8"/>
      <c r="B2136" s="38" t="s">
        <v>2671</v>
      </c>
      <c r="C2136" s="34" t="s">
        <v>2608</v>
      </c>
      <c r="D2136" s="14" t="s">
        <v>2107</v>
      </c>
    </row>
    <row r="2137" spans="1:4" ht="19.5" customHeight="1">
      <c r="A2137" s="8"/>
      <c r="B2137" s="38" t="s">
        <v>2672</v>
      </c>
      <c r="C2137" s="34" t="s">
        <v>2608</v>
      </c>
      <c r="D2137" s="14" t="s">
        <v>2673</v>
      </c>
    </row>
    <row r="2138" spans="1:4" ht="19.5" customHeight="1">
      <c r="A2138" s="8"/>
      <c r="B2138" s="38" t="s">
        <v>2691</v>
      </c>
      <c r="C2138" s="36">
        <v>1</v>
      </c>
      <c r="D2138" s="14" t="s">
        <v>2284</v>
      </c>
    </row>
    <row r="2139" spans="1:4" ht="19.5" customHeight="1">
      <c r="A2139" s="8"/>
      <c r="B2139" s="38" t="s">
        <v>2703</v>
      </c>
      <c r="C2139" s="36">
        <v>1</v>
      </c>
      <c r="D2139" s="14" t="s">
        <v>1105</v>
      </c>
    </row>
    <row r="2140" spans="1:4" ht="19.5" customHeight="1">
      <c r="A2140" s="8" t="s">
        <v>1496</v>
      </c>
      <c r="B2140" s="37" t="s">
        <v>2680</v>
      </c>
      <c r="C2140" s="34" t="s">
        <v>2608</v>
      </c>
      <c r="D2140" s="14" t="s">
        <v>2232</v>
      </c>
    </row>
    <row r="2141" spans="1:4" ht="19.5" customHeight="1">
      <c r="A2141" s="8"/>
      <c r="B2141" s="38" t="s">
        <v>420</v>
      </c>
      <c r="C2141" s="30" t="s">
        <v>2609</v>
      </c>
      <c r="D2141" s="14" t="s">
        <v>422</v>
      </c>
    </row>
    <row r="2142" spans="1:4" ht="19.5" customHeight="1">
      <c r="A2142" s="8"/>
      <c r="B2142" s="38" t="s">
        <v>420</v>
      </c>
      <c r="C2142" s="30" t="s">
        <v>2670</v>
      </c>
      <c r="D2142" s="14" t="s">
        <v>422</v>
      </c>
    </row>
    <row r="2143" spans="1:4" ht="19.5" customHeight="1">
      <c r="A2143" s="8"/>
      <c r="B2143" s="38" t="s">
        <v>420</v>
      </c>
      <c r="C2143" s="30" t="s">
        <v>2609</v>
      </c>
      <c r="D2143" s="14" t="s">
        <v>422</v>
      </c>
    </row>
    <row r="2144" spans="1:4" ht="19.5" customHeight="1">
      <c r="A2144" s="8"/>
      <c r="B2144" s="38" t="s">
        <v>2671</v>
      </c>
      <c r="C2144" s="34" t="s">
        <v>2608</v>
      </c>
      <c r="D2144" s="14" t="s">
        <v>2107</v>
      </c>
    </row>
    <row r="2145" spans="1:4" ht="19.5" customHeight="1">
      <c r="A2145" s="8"/>
      <c r="B2145" s="38" t="s">
        <v>2672</v>
      </c>
      <c r="C2145" s="34" t="s">
        <v>2608</v>
      </c>
      <c r="D2145" s="14" t="s">
        <v>2673</v>
      </c>
    </row>
    <row r="2146" spans="1:4" ht="19.5" customHeight="1">
      <c r="A2146" s="8"/>
      <c r="B2146" s="38" t="s">
        <v>2691</v>
      </c>
      <c r="C2146" s="36">
        <v>1</v>
      </c>
      <c r="D2146" s="14" t="s">
        <v>2284</v>
      </c>
    </row>
    <row r="2147" spans="1:4" ht="19.5" customHeight="1">
      <c r="A2147" s="8"/>
      <c r="B2147" s="38" t="s">
        <v>2703</v>
      </c>
      <c r="C2147" s="36">
        <v>1</v>
      </c>
      <c r="D2147" s="14" t="s">
        <v>1105</v>
      </c>
    </row>
    <row r="2148" spans="1:4" ht="19.5" customHeight="1">
      <c r="A2148" s="35"/>
      <c r="B2148" s="38"/>
      <c r="C2148" s="36"/>
      <c r="D2148" s="14"/>
    </row>
    <row r="2149" spans="1:4" ht="19.5" customHeight="1">
      <c r="A2149" s="8" t="s">
        <v>1498</v>
      </c>
      <c r="B2149" s="37" t="s">
        <v>2678</v>
      </c>
      <c r="C2149" s="34" t="s">
        <v>2608</v>
      </c>
      <c r="D2149" s="14" t="s">
        <v>2240</v>
      </c>
    </row>
    <row r="2150" spans="1:4" ht="19.5" customHeight="1">
      <c r="A2150" s="8"/>
      <c r="B2150" s="38" t="s">
        <v>420</v>
      </c>
      <c r="C2150" s="30" t="s">
        <v>2609</v>
      </c>
      <c r="D2150" s="14" t="s">
        <v>422</v>
      </c>
    </row>
    <row r="2151" spans="1:4" ht="19.5" customHeight="1">
      <c r="A2151" s="8"/>
      <c r="B2151" s="38" t="s">
        <v>420</v>
      </c>
      <c r="C2151" s="30" t="s">
        <v>2670</v>
      </c>
      <c r="D2151" s="14" t="s">
        <v>422</v>
      </c>
    </row>
    <row r="2152" spans="1:4" ht="19.5" customHeight="1">
      <c r="A2152" s="8"/>
      <c r="B2152" s="38" t="s">
        <v>420</v>
      </c>
      <c r="C2152" s="30" t="s">
        <v>2609</v>
      </c>
      <c r="D2152" s="14" t="s">
        <v>422</v>
      </c>
    </row>
    <row r="2153" spans="1:4" ht="19.5" customHeight="1">
      <c r="A2153" s="8"/>
      <c r="B2153" s="38" t="s">
        <v>2671</v>
      </c>
      <c r="C2153" s="34" t="s">
        <v>2608</v>
      </c>
      <c r="D2153" s="14" t="s">
        <v>2107</v>
      </c>
    </row>
    <row r="2154" spans="1:4" ht="19.5" customHeight="1">
      <c r="A2154" s="8"/>
      <c r="B2154" s="38" t="s">
        <v>2672</v>
      </c>
      <c r="C2154" s="34" t="s">
        <v>2608</v>
      </c>
      <c r="D2154" s="14" t="s">
        <v>2673</v>
      </c>
    </row>
    <row r="2155" spans="1:4" ht="19.5" customHeight="1">
      <c r="A2155" s="8"/>
      <c r="B2155" s="38" t="s">
        <v>2691</v>
      </c>
      <c r="C2155" s="36">
        <v>1</v>
      </c>
      <c r="D2155" s="14" t="s">
        <v>2284</v>
      </c>
    </row>
    <row r="2156" spans="1:4" ht="19.5" customHeight="1">
      <c r="A2156" s="8"/>
      <c r="B2156" s="38" t="s">
        <v>2703</v>
      </c>
      <c r="C2156" s="36">
        <v>1</v>
      </c>
      <c r="D2156" s="14" t="s">
        <v>1105</v>
      </c>
    </row>
    <row r="2157" spans="1:4" ht="19.5" customHeight="1">
      <c r="A2157" s="35"/>
      <c r="B2157" s="38"/>
      <c r="C2157" s="36"/>
      <c r="D2157" s="14"/>
    </row>
    <row r="2158" spans="1:4" ht="19.5" customHeight="1">
      <c r="A2158" s="35"/>
      <c r="B2158" s="38"/>
      <c r="C2158" s="36"/>
      <c r="D2158" s="14"/>
    </row>
    <row r="2159" spans="1:4" ht="19.5" customHeight="1">
      <c r="A2159" s="8" t="s">
        <v>1500</v>
      </c>
      <c r="B2159" s="37" t="s">
        <v>2669</v>
      </c>
      <c r="C2159" s="34" t="s">
        <v>2608</v>
      </c>
      <c r="D2159" s="14" t="s">
        <v>2096</v>
      </c>
    </row>
    <row r="2160" spans="1:4" ht="19.5" customHeight="1">
      <c r="A2160" s="8"/>
      <c r="B2160" s="38" t="s">
        <v>420</v>
      </c>
      <c r="C2160" s="30" t="s">
        <v>2670</v>
      </c>
      <c r="D2160" s="14" t="s">
        <v>422</v>
      </c>
    </row>
    <row r="2161" spans="1:4" ht="19.5" customHeight="1">
      <c r="A2161" s="8"/>
      <c r="B2161" s="38" t="s">
        <v>420</v>
      </c>
      <c r="C2161" s="30" t="s">
        <v>2609</v>
      </c>
      <c r="D2161" s="14" t="s">
        <v>422</v>
      </c>
    </row>
    <row r="2162" spans="1:4" ht="19.5" customHeight="1">
      <c r="A2162" s="8"/>
      <c r="B2162" s="38" t="s">
        <v>420</v>
      </c>
      <c r="C2162" s="30" t="s">
        <v>2609</v>
      </c>
      <c r="D2162" s="14" t="s">
        <v>422</v>
      </c>
    </row>
    <row r="2163" spans="1:4" ht="19.5" customHeight="1">
      <c r="A2163" s="8"/>
      <c r="B2163" s="38" t="s">
        <v>420</v>
      </c>
      <c r="C2163" s="30" t="s">
        <v>2609</v>
      </c>
      <c r="D2163" s="14" t="s">
        <v>422</v>
      </c>
    </row>
    <row r="2164" spans="1:4" ht="19.5" customHeight="1">
      <c r="A2164" s="8"/>
      <c r="B2164" s="38" t="s">
        <v>2671</v>
      </c>
      <c r="C2164" s="34" t="s">
        <v>2608</v>
      </c>
      <c r="D2164" s="14" t="s">
        <v>2107</v>
      </c>
    </row>
    <row r="2165" spans="1:4" ht="19.5" customHeight="1">
      <c r="A2165" s="8"/>
      <c r="B2165" s="38" t="s">
        <v>2694</v>
      </c>
      <c r="C2165" s="34" t="s">
        <v>2608</v>
      </c>
      <c r="D2165" s="14" t="s">
        <v>1846</v>
      </c>
    </row>
    <row r="2166" spans="1:4" ht="19.5" customHeight="1">
      <c r="A2166" s="8"/>
      <c r="B2166" s="38" t="s">
        <v>2672</v>
      </c>
      <c r="C2166" s="34" t="s">
        <v>2608</v>
      </c>
      <c r="D2166" s="14" t="s">
        <v>2673</v>
      </c>
    </row>
    <row r="2167" spans="1:4" ht="19.5" customHeight="1">
      <c r="A2167" s="8"/>
      <c r="B2167" s="38" t="s">
        <v>2691</v>
      </c>
      <c r="C2167" s="36">
        <v>1</v>
      </c>
      <c r="D2167" s="14" t="s">
        <v>2284</v>
      </c>
    </row>
    <row r="2168" spans="1:4" ht="19.5" customHeight="1">
      <c r="A2168" s="8"/>
      <c r="B2168" s="38" t="s">
        <v>2695</v>
      </c>
      <c r="C2168" s="36">
        <v>1</v>
      </c>
      <c r="D2168" s="14" t="s">
        <v>1111</v>
      </c>
    </row>
    <row r="2169" spans="1:4" ht="19.5" customHeight="1">
      <c r="A2169" s="8"/>
      <c r="B2169" s="38" t="s">
        <v>2703</v>
      </c>
      <c r="C2169" s="36">
        <v>1</v>
      </c>
      <c r="D2169" s="14" t="s">
        <v>1105</v>
      </c>
    </row>
    <row r="2170" spans="1:4" ht="19.5" customHeight="1">
      <c r="A2170" s="8" t="s">
        <v>1502</v>
      </c>
      <c r="B2170" s="37" t="s">
        <v>2680</v>
      </c>
      <c r="C2170" s="34" t="s">
        <v>2608</v>
      </c>
      <c r="D2170" s="14" t="s">
        <v>2232</v>
      </c>
    </row>
    <row r="2171" spans="1:4" ht="19.5" customHeight="1">
      <c r="A2171" s="8"/>
      <c r="B2171" s="38" t="s">
        <v>420</v>
      </c>
      <c r="C2171" s="30" t="s">
        <v>2670</v>
      </c>
      <c r="D2171" s="14" t="s">
        <v>422</v>
      </c>
    </row>
    <row r="2172" spans="1:4" ht="19.5" customHeight="1">
      <c r="A2172" s="8"/>
      <c r="B2172" s="38" t="s">
        <v>420</v>
      </c>
      <c r="C2172" s="30" t="s">
        <v>2609</v>
      </c>
      <c r="D2172" s="14" t="s">
        <v>422</v>
      </c>
    </row>
    <row r="2173" spans="1:4" ht="19.5" customHeight="1">
      <c r="A2173" s="8"/>
      <c r="B2173" s="38" t="s">
        <v>420</v>
      </c>
      <c r="C2173" s="30" t="s">
        <v>2609</v>
      </c>
      <c r="D2173" s="14" t="s">
        <v>422</v>
      </c>
    </row>
    <row r="2174" spans="1:4" ht="19.5" customHeight="1">
      <c r="A2174" s="8"/>
      <c r="B2174" s="38" t="s">
        <v>420</v>
      </c>
      <c r="C2174" s="30" t="s">
        <v>2609</v>
      </c>
      <c r="D2174" s="14" t="s">
        <v>422</v>
      </c>
    </row>
    <row r="2175" spans="1:4" ht="19.5" customHeight="1">
      <c r="A2175" s="8"/>
      <c r="B2175" s="38" t="s">
        <v>2671</v>
      </c>
      <c r="C2175" s="34" t="s">
        <v>2608</v>
      </c>
      <c r="D2175" s="14" t="s">
        <v>2107</v>
      </c>
    </row>
    <row r="2176" spans="1:4" ht="19.5" customHeight="1">
      <c r="A2176" s="8"/>
      <c r="B2176" s="38" t="s">
        <v>2694</v>
      </c>
      <c r="C2176" s="34" t="s">
        <v>2608</v>
      </c>
      <c r="D2176" s="14" t="s">
        <v>1846</v>
      </c>
    </row>
    <row r="2177" spans="1:4" ht="19.5" customHeight="1">
      <c r="A2177" s="8"/>
      <c r="B2177" s="38" t="s">
        <v>2672</v>
      </c>
      <c r="C2177" s="34" t="s">
        <v>2608</v>
      </c>
      <c r="D2177" s="14" t="s">
        <v>2673</v>
      </c>
    </row>
    <row r="2178" spans="1:4" ht="19.5" customHeight="1">
      <c r="A2178" s="8"/>
      <c r="B2178" s="38" t="s">
        <v>2691</v>
      </c>
      <c r="C2178" s="36">
        <v>1</v>
      </c>
      <c r="D2178" s="14" t="s">
        <v>2284</v>
      </c>
    </row>
    <row r="2179" spans="1:4" ht="19.5" customHeight="1">
      <c r="A2179" s="8"/>
      <c r="B2179" s="38" t="s">
        <v>2695</v>
      </c>
      <c r="C2179" s="36">
        <v>1</v>
      </c>
      <c r="D2179" s="14" t="s">
        <v>1111</v>
      </c>
    </row>
    <row r="2180" spans="1:4" ht="19.5" customHeight="1">
      <c r="A2180" s="8"/>
      <c r="B2180" s="38" t="s">
        <v>2703</v>
      </c>
      <c r="C2180" s="36">
        <v>1</v>
      </c>
      <c r="D2180" s="14" t="s">
        <v>1105</v>
      </c>
    </row>
    <row r="2181" spans="1:4" ht="19.5" customHeight="1">
      <c r="A2181" s="35"/>
      <c r="B2181" s="38"/>
      <c r="C2181" s="36"/>
      <c r="D2181" s="14"/>
    </row>
    <row r="2182" spans="1:4" ht="19.5" customHeight="1">
      <c r="A2182" s="35"/>
      <c r="B2182" s="38"/>
      <c r="C2182" s="36"/>
      <c r="D2182" s="14"/>
    </row>
    <row r="2183" spans="1:4" ht="19.5" customHeight="1">
      <c r="A2183" s="35"/>
      <c r="B2183" s="38"/>
      <c r="C2183" s="36"/>
      <c r="D2183" s="14"/>
    </row>
    <row r="2184" spans="1:4" ht="19.5" customHeight="1">
      <c r="A2184" s="8" t="s">
        <v>1504</v>
      </c>
      <c r="B2184" s="37" t="s">
        <v>2678</v>
      </c>
      <c r="C2184" s="34" t="s">
        <v>2608</v>
      </c>
      <c r="D2184" s="14" t="s">
        <v>2240</v>
      </c>
    </row>
    <row r="2185" spans="1:4" ht="19.5" customHeight="1">
      <c r="A2185" s="8"/>
      <c r="B2185" s="38" t="s">
        <v>420</v>
      </c>
      <c r="C2185" s="30" t="s">
        <v>2609</v>
      </c>
      <c r="D2185" s="14" t="s">
        <v>422</v>
      </c>
    </row>
    <row r="2186" spans="1:4" ht="19.5" customHeight="1">
      <c r="A2186" s="8"/>
      <c r="B2186" s="38" t="s">
        <v>420</v>
      </c>
      <c r="C2186" s="30" t="s">
        <v>2670</v>
      </c>
      <c r="D2186" s="14" t="s">
        <v>422</v>
      </c>
    </row>
    <row r="2187" spans="1:4" ht="19.5" customHeight="1">
      <c r="A2187" s="8"/>
      <c r="B2187" s="38" t="s">
        <v>420</v>
      </c>
      <c r="C2187" s="30" t="s">
        <v>2609</v>
      </c>
      <c r="D2187" s="14" t="s">
        <v>422</v>
      </c>
    </row>
    <row r="2188" spans="1:4" ht="19.5" customHeight="1">
      <c r="A2188" s="8"/>
      <c r="B2188" s="38" t="s">
        <v>420</v>
      </c>
      <c r="C2188" s="30" t="s">
        <v>2609</v>
      </c>
      <c r="D2188" s="14" t="s">
        <v>422</v>
      </c>
    </row>
    <row r="2189" spans="1:4" ht="19.5" customHeight="1">
      <c r="A2189" s="8"/>
      <c r="B2189" s="38" t="s">
        <v>2671</v>
      </c>
      <c r="C2189" s="34" t="s">
        <v>2608</v>
      </c>
      <c r="D2189" s="14" t="s">
        <v>2107</v>
      </c>
    </row>
    <row r="2190" spans="1:4" ht="19.5" customHeight="1">
      <c r="A2190" s="8"/>
      <c r="B2190" s="38" t="s">
        <v>2694</v>
      </c>
      <c r="C2190" s="34" t="s">
        <v>2608</v>
      </c>
      <c r="D2190" s="14" t="s">
        <v>1846</v>
      </c>
    </row>
    <row r="2191" spans="1:4" ht="19.5" customHeight="1">
      <c r="A2191" s="8"/>
      <c r="B2191" s="38" t="s">
        <v>2672</v>
      </c>
      <c r="C2191" s="34" t="s">
        <v>2608</v>
      </c>
      <c r="D2191" s="14" t="s">
        <v>2673</v>
      </c>
    </row>
    <row r="2192" spans="1:4" ht="19.5" customHeight="1">
      <c r="A2192" s="8"/>
      <c r="B2192" s="38" t="s">
        <v>2691</v>
      </c>
      <c r="C2192" s="36">
        <v>1</v>
      </c>
      <c r="D2192" s="14" t="s">
        <v>2284</v>
      </c>
    </row>
    <row r="2193" spans="1:4" ht="19.5" customHeight="1">
      <c r="A2193" s="8"/>
      <c r="B2193" s="38" t="s">
        <v>2695</v>
      </c>
      <c r="C2193" s="36">
        <v>1</v>
      </c>
      <c r="D2193" s="14" t="s">
        <v>1111</v>
      </c>
    </row>
    <row r="2194" spans="1:4" ht="19.5" customHeight="1">
      <c r="A2194" s="8"/>
      <c r="B2194" s="38" t="s">
        <v>2703</v>
      </c>
      <c r="C2194" s="36">
        <v>1</v>
      </c>
      <c r="D2194" s="14" t="s">
        <v>1105</v>
      </c>
    </row>
    <row r="2195" spans="1:4" ht="19.5" customHeight="1">
      <c r="A2195" s="35"/>
      <c r="B2195" s="38"/>
      <c r="C2195" s="36"/>
      <c r="D2195" s="14"/>
    </row>
    <row r="2196" spans="1:4" ht="19.5" customHeight="1">
      <c r="A2196" s="35"/>
      <c r="B2196" s="38"/>
      <c r="C2196" s="36"/>
      <c r="D2196" s="14"/>
    </row>
    <row r="2197" spans="1:4" ht="19.5" customHeight="1">
      <c r="A2197" s="35"/>
      <c r="B2197" s="38"/>
      <c r="C2197" s="36"/>
      <c r="D2197" s="14"/>
    </row>
    <row r="2198" spans="1:4" ht="19.5" customHeight="1">
      <c r="A2198" s="35"/>
      <c r="B2198" s="38"/>
      <c r="C2198" s="36"/>
      <c r="D2198" s="14"/>
    </row>
    <row r="2199" spans="1:4" ht="19.5" customHeight="1">
      <c r="A2199" s="8" t="s">
        <v>1506</v>
      </c>
      <c r="B2199" s="37" t="s">
        <v>2669</v>
      </c>
      <c r="C2199" s="34" t="s">
        <v>2608</v>
      </c>
      <c r="D2199" s="14" t="s">
        <v>2096</v>
      </c>
    </row>
    <row r="2200" spans="1:4" ht="19.5" customHeight="1">
      <c r="A2200" s="8"/>
      <c r="B2200" s="38" t="s">
        <v>420</v>
      </c>
      <c r="C2200" s="30" t="s">
        <v>2609</v>
      </c>
      <c r="D2200" s="14" t="s">
        <v>422</v>
      </c>
    </row>
    <row r="2201" spans="1:4" ht="19.5" customHeight="1">
      <c r="A2201" s="8"/>
      <c r="B2201" s="38" t="s">
        <v>420</v>
      </c>
      <c r="C2201" s="30" t="s">
        <v>2670</v>
      </c>
      <c r="D2201" s="14" t="s">
        <v>422</v>
      </c>
    </row>
    <row r="2202" spans="1:4" ht="19.5" customHeight="1">
      <c r="A2202" s="8"/>
      <c r="B2202" s="38" t="s">
        <v>420</v>
      </c>
      <c r="C2202" s="30" t="s">
        <v>2609</v>
      </c>
      <c r="D2202" s="14" t="s">
        <v>422</v>
      </c>
    </row>
    <row r="2203" spans="1:4" ht="19.5" customHeight="1">
      <c r="A2203" s="8"/>
      <c r="B2203" s="38" t="s">
        <v>420</v>
      </c>
      <c r="C2203" s="30" t="s">
        <v>2609</v>
      </c>
      <c r="D2203" s="14" t="s">
        <v>422</v>
      </c>
    </row>
    <row r="2204" spans="1:4" ht="19.5" customHeight="1">
      <c r="A2204" s="8"/>
      <c r="B2204" s="38" t="s">
        <v>2671</v>
      </c>
      <c r="C2204" s="34" t="s">
        <v>2608</v>
      </c>
      <c r="D2204" s="14" t="s">
        <v>2107</v>
      </c>
    </row>
    <row r="2205" spans="1:4" ht="19.5" customHeight="1">
      <c r="A2205" s="8"/>
      <c r="B2205" s="38" t="s">
        <v>2685</v>
      </c>
      <c r="C2205" s="34" t="s">
        <v>2608</v>
      </c>
      <c r="D2205" s="14" t="s">
        <v>438</v>
      </c>
    </row>
    <row r="2206" spans="1:4" ht="19.5" customHeight="1">
      <c r="A2206" s="8"/>
      <c r="B2206" s="38" t="s">
        <v>2672</v>
      </c>
      <c r="C2206" s="34" t="s">
        <v>2608</v>
      </c>
      <c r="D2206" s="14" t="s">
        <v>2673</v>
      </c>
    </row>
    <row r="2207" spans="1:4" ht="19.5" customHeight="1">
      <c r="A2207" s="8"/>
      <c r="B2207" s="38" t="s">
        <v>2617</v>
      </c>
      <c r="C2207" s="36">
        <v>2</v>
      </c>
      <c r="D2207" s="14" t="s">
        <v>2293</v>
      </c>
    </row>
    <row r="2208" spans="1:4" ht="19.5" customHeight="1">
      <c r="A2208" s="8"/>
      <c r="B2208" s="38" t="s">
        <v>2686</v>
      </c>
      <c r="C2208" s="36">
        <v>1</v>
      </c>
      <c r="D2208" s="14" t="s">
        <v>2587</v>
      </c>
    </row>
    <row r="2209" spans="1:4" ht="19.5" customHeight="1">
      <c r="A2209" s="8"/>
      <c r="B2209" s="38" t="s">
        <v>2702</v>
      </c>
      <c r="C2209" s="36">
        <v>1</v>
      </c>
      <c r="D2209" s="14" t="s">
        <v>708</v>
      </c>
    </row>
    <row r="2210" spans="1:4" ht="19.5" customHeight="1">
      <c r="A2210" s="8" t="s">
        <v>1508</v>
      </c>
      <c r="B2210" s="37" t="s">
        <v>2680</v>
      </c>
      <c r="C2210" s="34" t="s">
        <v>2608</v>
      </c>
      <c r="D2210" s="14" t="s">
        <v>2232</v>
      </c>
    </row>
    <row r="2211" spans="1:4" ht="19.5" customHeight="1">
      <c r="A2211" s="8"/>
      <c r="B2211" s="38" t="s">
        <v>420</v>
      </c>
      <c r="C2211" s="30" t="s">
        <v>2609</v>
      </c>
      <c r="D2211" s="14" t="s">
        <v>422</v>
      </c>
    </row>
    <row r="2212" spans="1:4" ht="17.25" customHeight="1">
      <c r="A2212" s="8"/>
      <c r="B2212" s="38" t="s">
        <v>420</v>
      </c>
      <c r="C2212" s="30" t="s">
        <v>2609</v>
      </c>
      <c r="D2212" s="14" t="s">
        <v>422</v>
      </c>
    </row>
    <row r="2213" spans="1:4" ht="17.25" customHeight="1">
      <c r="A2213" s="8"/>
      <c r="B2213" s="38" t="s">
        <v>420</v>
      </c>
      <c r="C2213" s="30" t="s">
        <v>2609</v>
      </c>
      <c r="D2213" s="14" t="s">
        <v>422</v>
      </c>
    </row>
    <row r="2214" spans="1:4" ht="15" customHeight="1">
      <c r="A2214" s="8"/>
      <c r="B2214" s="38" t="s">
        <v>2671</v>
      </c>
      <c r="C2214" s="34" t="s">
        <v>2608</v>
      </c>
      <c r="D2214" s="14" t="s">
        <v>2107</v>
      </c>
    </row>
    <row r="2215" spans="1:4" ht="16.5" customHeight="1">
      <c r="A2215" s="8"/>
      <c r="B2215" s="38" t="s">
        <v>2685</v>
      </c>
      <c r="C2215" s="34" t="s">
        <v>2608</v>
      </c>
      <c r="D2215" s="14" t="s">
        <v>438</v>
      </c>
    </row>
    <row r="2216" spans="1:4" ht="15" customHeight="1">
      <c r="A2216" s="8"/>
      <c r="B2216" s="38" t="s">
        <v>2672</v>
      </c>
      <c r="C2216" s="34" t="s">
        <v>2608</v>
      </c>
      <c r="D2216" s="14" t="s">
        <v>2673</v>
      </c>
    </row>
    <row r="2217" spans="1:4" ht="15" customHeight="1">
      <c r="A2217" s="8"/>
      <c r="B2217" s="38" t="s">
        <v>2617</v>
      </c>
      <c r="C2217" s="36">
        <v>2</v>
      </c>
      <c r="D2217" s="14" t="s">
        <v>2293</v>
      </c>
    </row>
    <row r="2218" spans="1:4" ht="15" customHeight="1">
      <c r="A2218" s="8"/>
      <c r="B2218" s="38" t="s">
        <v>2686</v>
      </c>
      <c r="C2218" s="36">
        <v>1</v>
      </c>
      <c r="D2218" s="14" t="s">
        <v>2587</v>
      </c>
    </row>
    <row r="2219" spans="1:4" ht="18" customHeight="1">
      <c r="A2219" s="8"/>
      <c r="B2219" s="38" t="s">
        <v>2702</v>
      </c>
      <c r="C2219" s="36">
        <v>1</v>
      </c>
      <c r="D2219" s="14" t="s">
        <v>708</v>
      </c>
    </row>
    <row r="2220" spans="1:4" ht="19.5" customHeight="1">
      <c r="A2220" s="8" t="s">
        <v>1510</v>
      </c>
      <c r="B2220" s="37" t="s">
        <v>2678</v>
      </c>
      <c r="C2220" s="34" t="s">
        <v>2608</v>
      </c>
      <c r="D2220" s="14" t="s">
        <v>2240</v>
      </c>
    </row>
    <row r="2221" spans="1:4" ht="19.5" customHeight="1">
      <c r="A2221" s="8"/>
      <c r="B2221" s="38" t="s">
        <v>420</v>
      </c>
      <c r="C2221" s="30" t="s">
        <v>2609</v>
      </c>
      <c r="D2221" s="14" t="s">
        <v>422</v>
      </c>
    </row>
    <row r="2222" spans="1:4" ht="19.5" customHeight="1">
      <c r="A2222" s="8"/>
      <c r="B2222" s="38" t="s">
        <v>420</v>
      </c>
      <c r="C2222" s="30" t="s">
        <v>2670</v>
      </c>
      <c r="D2222" s="14" t="s">
        <v>422</v>
      </c>
    </row>
    <row r="2223" spans="1:4" ht="15" customHeight="1">
      <c r="A2223" s="8"/>
      <c r="B2223" s="38" t="s">
        <v>420</v>
      </c>
      <c r="C2223" s="30" t="s">
        <v>2609</v>
      </c>
      <c r="D2223" s="14" t="s">
        <v>422</v>
      </c>
    </row>
    <row r="2224" spans="1:4" ht="15" customHeight="1">
      <c r="A2224" s="8"/>
      <c r="B2224" s="38" t="s">
        <v>420</v>
      </c>
      <c r="C2224" s="30" t="s">
        <v>2609</v>
      </c>
      <c r="D2224" s="14" t="s">
        <v>422</v>
      </c>
    </row>
    <row r="2225" spans="1:4" ht="15" customHeight="1">
      <c r="A2225" s="8"/>
      <c r="B2225" s="38" t="s">
        <v>2683</v>
      </c>
      <c r="C2225" s="34" t="s">
        <v>2608</v>
      </c>
      <c r="D2225" s="14" t="s">
        <v>2109</v>
      </c>
    </row>
    <row r="2226" spans="1:4" ht="15" customHeight="1">
      <c r="A2226" s="8"/>
      <c r="B2226" s="38" t="s">
        <v>2685</v>
      </c>
      <c r="C2226" s="34" t="s">
        <v>2608</v>
      </c>
      <c r="D2226" s="14" t="s">
        <v>438</v>
      </c>
    </row>
    <row r="2227" spans="1:4" ht="15" customHeight="1">
      <c r="A2227" s="8"/>
      <c r="B2227" s="38" t="s">
        <v>2672</v>
      </c>
      <c r="C2227" s="34" t="s">
        <v>2608</v>
      </c>
      <c r="D2227" s="14" t="s">
        <v>2673</v>
      </c>
    </row>
    <row r="2228" spans="1:4" ht="15" customHeight="1">
      <c r="A2228" s="8"/>
      <c r="B2228" s="38" t="s">
        <v>2617</v>
      </c>
      <c r="C2228" s="36">
        <v>2</v>
      </c>
      <c r="D2228" s="14" t="s">
        <v>2293</v>
      </c>
    </row>
    <row r="2229" spans="1:4" ht="15" customHeight="1">
      <c r="A2229" s="8"/>
      <c r="B2229" s="38" t="s">
        <v>2686</v>
      </c>
      <c r="C2229" s="36">
        <v>1</v>
      </c>
      <c r="D2229" s="14" t="s">
        <v>2587</v>
      </c>
    </row>
    <row r="2230" spans="1:4" ht="15" customHeight="1">
      <c r="A2230" s="8"/>
      <c r="B2230" s="38" t="s">
        <v>2702</v>
      </c>
      <c r="C2230" s="36">
        <v>1</v>
      </c>
      <c r="D2230" s="14" t="s">
        <v>708</v>
      </c>
    </row>
    <row r="2231" spans="1:4" ht="15" customHeight="1">
      <c r="A2231" s="35"/>
      <c r="B2231" s="38"/>
      <c r="C2231" s="36"/>
      <c r="D2231" s="14"/>
    </row>
    <row r="2232" spans="1:4" ht="15" customHeight="1">
      <c r="A2232" s="35"/>
      <c r="B2232" s="38"/>
      <c r="C2232" s="36"/>
      <c r="D2232" s="14"/>
    </row>
    <row r="2233" spans="1:4" ht="15" customHeight="1">
      <c r="A2233" s="35"/>
      <c r="B2233" s="38"/>
      <c r="C2233" s="36"/>
      <c r="D2233" s="14"/>
    </row>
    <row r="2234" spans="1:4" ht="15" customHeight="1">
      <c r="A2234" s="35"/>
      <c r="B2234" s="38"/>
      <c r="C2234" s="36"/>
      <c r="D2234" s="14"/>
    </row>
    <row r="2235" spans="1:4" ht="15" customHeight="1">
      <c r="A2235" s="35"/>
      <c r="B2235" s="38"/>
      <c r="C2235" s="36"/>
      <c r="D2235" s="14"/>
    </row>
    <row r="2236" spans="1:4" ht="15" customHeight="1">
      <c r="A2236" s="35"/>
      <c r="B2236" s="38"/>
      <c r="C2236" s="36"/>
      <c r="D2236" s="14"/>
    </row>
    <row r="2237" spans="1:4" ht="15" customHeight="1">
      <c r="A2237" s="35"/>
      <c r="B2237" s="38"/>
      <c r="C2237" s="36"/>
      <c r="D2237" s="14"/>
    </row>
    <row r="2238" spans="1:4" ht="19.5" customHeight="1">
      <c r="A2238" s="8" t="s">
        <v>1512</v>
      </c>
      <c r="B2238" s="37" t="s">
        <v>2669</v>
      </c>
      <c r="C2238" s="34" t="s">
        <v>2608</v>
      </c>
      <c r="D2238" s="14" t="s">
        <v>2096</v>
      </c>
    </row>
    <row r="2239" spans="1:4" ht="19.5" customHeight="1">
      <c r="A2239" s="8"/>
      <c r="B2239" s="38" t="s">
        <v>2690</v>
      </c>
      <c r="C2239" s="30" t="s">
        <v>2609</v>
      </c>
      <c r="D2239" s="14" t="s">
        <v>426</v>
      </c>
    </row>
    <row r="2240" spans="1:4" ht="19.5" customHeight="1">
      <c r="A2240" s="8"/>
      <c r="B2240" s="38" t="s">
        <v>420</v>
      </c>
      <c r="C2240" s="30" t="s">
        <v>2670</v>
      </c>
      <c r="D2240" s="14" t="s">
        <v>422</v>
      </c>
    </row>
    <row r="2241" spans="1:4" ht="19.5" customHeight="1">
      <c r="A2241" s="8"/>
      <c r="B2241" s="38" t="s">
        <v>420</v>
      </c>
      <c r="C2241" s="30" t="s">
        <v>2609</v>
      </c>
      <c r="D2241" s="14" t="s">
        <v>422</v>
      </c>
    </row>
    <row r="2242" spans="1:4" ht="19.5" customHeight="1">
      <c r="A2242" s="8"/>
      <c r="B2242" s="38" t="s">
        <v>420</v>
      </c>
      <c r="C2242" s="30" t="s">
        <v>2609</v>
      </c>
      <c r="D2242" s="14" t="s">
        <v>422</v>
      </c>
    </row>
    <row r="2243" spans="1:4" ht="19.5" customHeight="1">
      <c r="A2243" s="8"/>
      <c r="B2243" s="38" t="s">
        <v>420</v>
      </c>
      <c r="C2243" s="30" t="s">
        <v>2609</v>
      </c>
      <c r="D2243" s="14" t="s">
        <v>422</v>
      </c>
    </row>
    <row r="2244" spans="1:4" ht="19.5" customHeight="1">
      <c r="A2244" s="8"/>
      <c r="B2244" s="38" t="s">
        <v>2671</v>
      </c>
      <c r="C2244" s="34" t="s">
        <v>2608</v>
      </c>
      <c r="D2244" s="14" t="s">
        <v>2107</v>
      </c>
    </row>
    <row r="2245" spans="1:4" ht="19.5" customHeight="1">
      <c r="A2245" s="8"/>
      <c r="B2245" s="38" t="s">
        <v>2694</v>
      </c>
      <c r="C2245" s="34" t="s">
        <v>2608</v>
      </c>
      <c r="D2245" s="14" t="s">
        <v>1846</v>
      </c>
    </row>
    <row r="2246" spans="1:4" ht="15" customHeight="1">
      <c r="A2246" s="8"/>
      <c r="B2246" s="38" t="s">
        <v>2685</v>
      </c>
      <c r="C2246" s="34" t="s">
        <v>2608</v>
      </c>
      <c r="D2246" s="14" t="s">
        <v>438</v>
      </c>
    </row>
    <row r="2247" spans="1:4" ht="15" customHeight="1">
      <c r="A2247" s="8"/>
      <c r="B2247" s="38" t="s">
        <v>2672</v>
      </c>
      <c r="C2247" s="34" t="s">
        <v>2608</v>
      </c>
      <c r="D2247" s="14" t="s">
        <v>2673</v>
      </c>
    </row>
    <row r="2248" spans="1:4" ht="15" customHeight="1">
      <c r="A2248" s="8"/>
      <c r="B2248" s="38" t="s">
        <v>2617</v>
      </c>
      <c r="C2248" s="36">
        <v>2</v>
      </c>
      <c r="D2248" s="14" t="s">
        <v>2293</v>
      </c>
    </row>
    <row r="2249" spans="1:4" ht="15" customHeight="1">
      <c r="A2249" s="8"/>
      <c r="B2249" s="38" t="s">
        <v>2704</v>
      </c>
      <c r="C2249" s="36">
        <v>1</v>
      </c>
      <c r="D2249" s="14" t="s">
        <v>1111</v>
      </c>
    </row>
    <row r="2250" spans="1:4" ht="15" customHeight="1">
      <c r="A2250" s="8"/>
      <c r="B2250" s="38" t="s">
        <v>2686</v>
      </c>
      <c r="C2250" s="36">
        <v>1</v>
      </c>
      <c r="D2250" s="14" t="s">
        <v>2587</v>
      </c>
    </row>
    <row r="2251" spans="1:4" ht="15" customHeight="1">
      <c r="A2251" s="8"/>
      <c r="B2251" s="38" t="s">
        <v>2702</v>
      </c>
      <c r="C2251" s="36">
        <v>1</v>
      </c>
      <c r="D2251" s="14" t="s">
        <v>708</v>
      </c>
    </row>
    <row r="2252" spans="1:4" ht="15" customHeight="1">
      <c r="A2252" s="8" t="s">
        <v>1514</v>
      </c>
      <c r="B2252" s="37" t="s">
        <v>2680</v>
      </c>
      <c r="C2252" s="34" t="s">
        <v>2608</v>
      </c>
      <c r="D2252" s="14" t="s">
        <v>2232</v>
      </c>
    </row>
    <row r="2253" spans="1:4" ht="15" customHeight="1">
      <c r="A2253" s="8"/>
      <c r="B2253" s="38" t="s">
        <v>420</v>
      </c>
      <c r="C2253" s="30" t="s">
        <v>2609</v>
      </c>
      <c r="D2253" s="14" t="s">
        <v>422</v>
      </c>
    </row>
    <row r="2254" spans="1:4" ht="15" customHeight="1">
      <c r="A2254" s="8"/>
      <c r="B2254" s="38" t="s">
        <v>420</v>
      </c>
      <c r="C2254" s="30" t="s">
        <v>2609</v>
      </c>
      <c r="D2254" s="14" t="s">
        <v>422</v>
      </c>
    </row>
    <row r="2255" spans="1:4" ht="19.5" customHeight="1">
      <c r="A2255" s="8"/>
      <c r="B2255" s="38" t="s">
        <v>420</v>
      </c>
      <c r="C2255" s="30" t="s">
        <v>2670</v>
      </c>
      <c r="D2255" s="14" t="s">
        <v>422</v>
      </c>
    </row>
    <row r="2256" spans="1:4" ht="15" customHeight="1">
      <c r="A2256" s="8"/>
      <c r="B2256" s="38" t="s">
        <v>420</v>
      </c>
      <c r="C2256" s="30" t="s">
        <v>2609</v>
      </c>
      <c r="D2256" s="14" t="s">
        <v>422</v>
      </c>
    </row>
    <row r="2257" spans="1:4" ht="15" customHeight="1">
      <c r="A2257" s="8"/>
      <c r="B2257" s="38" t="s">
        <v>420</v>
      </c>
      <c r="C2257" s="30" t="s">
        <v>2609</v>
      </c>
      <c r="D2257" s="14" t="s">
        <v>422</v>
      </c>
    </row>
    <row r="2258" spans="1:4" ht="15" customHeight="1">
      <c r="A2258" s="8"/>
      <c r="B2258" s="38" t="s">
        <v>2671</v>
      </c>
      <c r="C2258" s="34" t="s">
        <v>2608</v>
      </c>
      <c r="D2258" s="14" t="s">
        <v>2107</v>
      </c>
    </row>
    <row r="2259" spans="1:4" ht="15" customHeight="1">
      <c r="A2259" s="8"/>
      <c r="B2259" s="38" t="s">
        <v>2694</v>
      </c>
      <c r="C2259" s="34" t="s">
        <v>2608</v>
      </c>
      <c r="D2259" s="14" t="s">
        <v>1846</v>
      </c>
    </row>
    <row r="2260" spans="1:4" ht="15" customHeight="1">
      <c r="A2260" s="8"/>
      <c r="B2260" s="38" t="s">
        <v>2685</v>
      </c>
      <c r="C2260" s="34" t="s">
        <v>2608</v>
      </c>
      <c r="D2260" s="14" t="s">
        <v>438</v>
      </c>
    </row>
    <row r="2261" spans="1:4" ht="15" customHeight="1">
      <c r="A2261" s="8"/>
      <c r="B2261" s="38" t="s">
        <v>2672</v>
      </c>
      <c r="C2261" s="34" t="s">
        <v>2608</v>
      </c>
      <c r="D2261" s="14" t="s">
        <v>2673</v>
      </c>
    </row>
    <row r="2262" spans="1:4" ht="15" customHeight="1">
      <c r="A2262" s="8"/>
      <c r="B2262" s="38" t="s">
        <v>2617</v>
      </c>
      <c r="C2262" s="36">
        <v>2</v>
      </c>
      <c r="D2262" s="14" t="s">
        <v>2293</v>
      </c>
    </row>
    <row r="2263" spans="1:4" ht="15" customHeight="1">
      <c r="A2263" s="8"/>
      <c r="B2263" s="38" t="s">
        <v>2704</v>
      </c>
      <c r="C2263" s="36">
        <v>1</v>
      </c>
      <c r="D2263" s="14" t="s">
        <v>1111</v>
      </c>
    </row>
    <row r="2264" spans="1:4" ht="15" customHeight="1">
      <c r="A2264" s="8"/>
      <c r="B2264" s="38" t="s">
        <v>2686</v>
      </c>
      <c r="C2264" s="36">
        <v>1</v>
      </c>
      <c r="D2264" s="14" t="s">
        <v>2587</v>
      </c>
    </row>
    <row r="2265" spans="1:4" ht="19.5" customHeight="1">
      <c r="A2265" s="8"/>
      <c r="B2265" s="38" t="s">
        <v>2702</v>
      </c>
      <c r="C2265" s="36">
        <v>1</v>
      </c>
      <c r="D2265" s="14" t="s">
        <v>708</v>
      </c>
    </row>
    <row r="2266" spans="1:4" ht="19.5" customHeight="1">
      <c r="A2266" s="8" t="s">
        <v>1516</v>
      </c>
      <c r="B2266" s="37" t="s">
        <v>2678</v>
      </c>
      <c r="C2266" s="34" t="s">
        <v>2608</v>
      </c>
      <c r="D2266" s="14" t="s">
        <v>2240</v>
      </c>
    </row>
    <row r="2267" spans="1:4" ht="19.5" customHeight="1">
      <c r="A2267" s="8"/>
      <c r="B2267" s="38" t="s">
        <v>420</v>
      </c>
      <c r="C2267" s="30" t="s">
        <v>2609</v>
      </c>
      <c r="D2267" s="14" t="s">
        <v>422</v>
      </c>
    </row>
    <row r="2268" spans="1:4" ht="19.5" customHeight="1">
      <c r="A2268" s="8"/>
      <c r="B2268" s="38" t="s">
        <v>420</v>
      </c>
      <c r="C2268" s="30" t="s">
        <v>2609</v>
      </c>
      <c r="D2268" s="14" t="s">
        <v>422</v>
      </c>
    </row>
    <row r="2269" spans="1:4" ht="19.5" customHeight="1">
      <c r="A2269" s="8"/>
      <c r="B2269" s="38" t="s">
        <v>420</v>
      </c>
      <c r="C2269" s="30" t="s">
        <v>2670</v>
      </c>
      <c r="D2269" s="14" t="s">
        <v>422</v>
      </c>
    </row>
    <row r="2270" spans="1:4" ht="19.5" customHeight="1">
      <c r="A2270" s="8"/>
      <c r="B2270" s="38" t="s">
        <v>420</v>
      </c>
      <c r="C2270" s="30" t="s">
        <v>2609</v>
      </c>
      <c r="D2270" s="14" t="s">
        <v>422</v>
      </c>
    </row>
    <row r="2271" spans="1:4" ht="19.5" customHeight="1">
      <c r="A2271" s="8"/>
      <c r="B2271" s="38" t="s">
        <v>420</v>
      </c>
      <c r="C2271" s="30" t="s">
        <v>2609</v>
      </c>
      <c r="D2271" s="14" t="s">
        <v>422</v>
      </c>
    </row>
    <row r="2272" spans="1:4" ht="19.5" customHeight="1">
      <c r="A2272" s="8"/>
      <c r="B2272" s="38" t="s">
        <v>2671</v>
      </c>
      <c r="C2272" s="34" t="s">
        <v>2608</v>
      </c>
      <c r="D2272" s="14" t="s">
        <v>2107</v>
      </c>
    </row>
    <row r="2273" spans="1:4" ht="19.5" customHeight="1">
      <c r="A2273" s="8"/>
      <c r="B2273" s="38" t="s">
        <v>2694</v>
      </c>
      <c r="C2273" s="34" t="s">
        <v>2608</v>
      </c>
      <c r="D2273" s="14" t="s">
        <v>1846</v>
      </c>
    </row>
    <row r="2274" spans="1:4" ht="19.5" customHeight="1">
      <c r="A2274" s="8"/>
      <c r="B2274" s="38" t="s">
        <v>2685</v>
      </c>
      <c r="C2274" s="34" t="s">
        <v>2608</v>
      </c>
      <c r="D2274" s="14" t="s">
        <v>438</v>
      </c>
    </row>
    <row r="2275" spans="1:4" ht="19.5" customHeight="1">
      <c r="A2275" s="8"/>
      <c r="B2275" s="38" t="s">
        <v>2672</v>
      </c>
      <c r="C2275" s="34" t="s">
        <v>2608</v>
      </c>
      <c r="D2275" s="14" t="s">
        <v>2673</v>
      </c>
    </row>
    <row r="2276" spans="1:4" ht="15.75" customHeight="1">
      <c r="A2276" s="8"/>
      <c r="B2276" s="38" t="s">
        <v>2617</v>
      </c>
      <c r="C2276" s="36">
        <v>2</v>
      </c>
      <c r="D2276" s="14" t="s">
        <v>2293</v>
      </c>
    </row>
    <row r="2277" spans="1:4" ht="17.25" customHeight="1">
      <c r="A2277" s="8"/>
      <c r="B2277" s="38" t="s">
        <v>2704</v>
      </c>
      <c r="C2277" s="36">
        <v>1</v>
      </c>
      <c r="D2277" s="14" t="s">
        <v>1111</v>
      </c>
    </row>
    <row r="2278" spans="1:4" ht="16.5" customHeight="1">
      <c r="A2278" s="8"/>
      <c r="B2278" s="38" t="s">
        <v>2686</v>
      </c>
      <c r="C2278" s="36">
        <v>1</v>
      </c>
      <c r="D2278" s="14" t="s">
        <v>2587</v>
      </c>
    </row>
    <row r="2279" spans="1:4" ht="14.25" customHeight="1">
      <c r="A2279" s="8"/>
      <c r="B2279" s="38" t="s">
        <v>2702</v>
      </c>
      <c r="C2279" s="36">
        <v>1</v>
      </c>
      <c r="D2279" s="14" t="s">
        <v>708</v>
      </c>
    </row>
    <row r="2280" spans="1:4" ht="19.5" customHeight="1">
      <c r="A2280" s="8" t="s">
        <v>1695</v>
      </c>
      <c r="B2280" s="37" t="s">
        <v>2705</v>
      </c>
      <c r="C2280" s="34" t="s">
        <v>2608</v>
      </c>
      <c r="D2280" s="14" t="s">
        <v>2104</v>
      </c>
    </row>
    <row r="2281" spans="1:4" ht="19.5" customHeight="1">
      <c r="A2281" s="8"/>
      <c r="B2281" s="38" t="s">
        <v>2671</v>
      </c>
      <c r="C2281" s="34" t="s">
        <v>2608</v>
      </c>
      <c r="D2281" s="14" t="s">
        <v>2107</v>
      </c>
    </row>
    <row r="2282" spans="1:4" ht="19.5" customHeight="1">
      <c r="A2282" s="8"/>
      <c r="B2282" s="38" t="s">
        <v>420</v>
      </c>
      <c r="C2282" s="30" t="s">
        <v>2670</v>
      </c>
      <c r="D2282" s="14" t="s">
        <v>422</v>
      </c>
    </row>
    <row r="2283" spans="1:4" ht="19.5" customHeight="1">
      <c r="A2283" s="8"/>
      <c r="B2283" s="24" t="s">
        <v>420</v>
      </c>
      <c r="C2283" s="30" t="s">
        <v>2609</v>
      </c>
      <c r="D2283" s="14" t="s">
        <v>422</v>
      </c>
    </row>
    <row r="2284" spans="1:4" ht="19.5" customHeight="1">
      <c r="A2284" s="8"/>
      <c r="B2284" s="24" t="s">
        <v>420</v>
      </c>
      <c r="C2284" s="30" t="s">
        <v>2609</v>
      </c>
      <c r="D2284" s="14" t="s">
        <v>422</v>
      </c>
    </row>
    <row r="2285" spans="1:4" ht="19.5" customHeight="1">
      <c r="A2285" s="8"/>
      <c r="B2285" s="24" t="s">
        <v>420</v>
      </c>
      <c r="C2285" s="30" t="s">
        <v>2609</v>
      </c>
      <c r="D2285" s="14" t="s">
        <v>422</v>
      </c>
    </row>
    <row r="2286" spans="1:4" ht="19.5" customHeight="1">
      <c r="A2286" s="8"/>
      <c r="B2286" s="38" t="s">
        <v>2672</v>
      </c>
      <c r="C2286" s="34" t="s">
        <v>2608</v>
      </c>
      <c r="D2286" s="14" t="s">
        <v>2673</v>
      </c>
    </row>
    <row r="2287" spans="1:4" ht="19.5" customHeight="1">
      <c r="A2287" s="8"/>
      <c r="B2287" s="38" t="s">
        <v>2694</v>
      </c>
      <c r="C2287" s="34" t="s">
        <v>2608</v>
      </c>
      <c r="D2287" s="14" t="s">
        <v>1846</v>
      </c>
    </row>
    <row r="2288" spans="1:4" ht="19.5" customHeight="1">
      <c r="A2288" s="8"/>
      <c r="B2288" s="38" t="s">
        <v>2674</v>
      </c>
      <c r="C2288" s="36">
        <v>4</v>
      </c>
      <c r="D2288" s="14" t="s">
        <v>2377</v>
      </c>
    </row>
    <row r="2289" spans="1:4" ht="19.5" customHeight="1">
      <c r="A2289" s="8"/>
      <c r="B2289" s="38" t="s">
        <v>2695</v>
      </c>
      <c r="C2289" s="36">
        <v>1</v>
      </c>
      <c r="D2289" s="14" t="s">
        <v>1111</v>
      </c>
    </row>
    <row r="2290" spans="1:4" ht="19.5" customHeight="1">
      <c r="A2290" s="8"/>
      <c r="B2290" s="38" t="s">
        <v>2706</v>
      </c>
      <c r="C2290" s="36">
        <v>1</v>
      </c>
      <c r="D2290" s="14" t="s">
        <v>2342</v>
      </c>
    </row>
    <row r="2291" spans="1:4" ht="19.5" customHeight="1">
      <c r="A2291" s="8"/>
      <c r="B2291" s="38" t="s">
        <v>2707</v>
      </c>
      <c r="C2291" s="36">
        <v>1</v>
      </c>
      <c r="D2291" s="14" t="s">
        <v>1086</v>
      </c>
    </row>
    <row r="2292" spans="1:4" ht="19.5" customHeight="1">
      <c r="A2292" s="8"/>
      <c r="B2292" s="38" t="s">
        <v>2708</v>
      </c>
      <c r="C2292" s="36">
        <v>1</v>
      </c>
      <c r="D2292" s="14" t="s">
        <v>1101</v>
      </c>
    </row>
    <row r="2293" spans="1:4" ht="15" customHeight="1">
      <c r="A2293" s="8" t="s">
        <v>1520</v>
      </c>
      <c r="B2293" s="37" t="s">
        <v>2705</v>
      </c>
      <c r="C2293" s="34" t="s">
        <v>2608</v>
      </c>
      <c r="D2293" s="14" t="s">
        <v>2104</v>
      </c>
    </row>
    <row r="2294" spans="1:4" ht="15" customHeight="1">
      <c r="A2294" s="8"/>
      <c r="B2294" s="38" t="s">
        <v>2683</v>
      </c>
      <c r="C2294" s="34" t="s">
        <v>2608</v>
      </c>
      <c r="D2294" s="14" t="s">
        <v>2109</v>
      </c>
    </row>
    <row r="2295" spans="1:4" ht="19.5" customHeight="1">
      <c r="A2295" s="8"/>
      <c r="B2295" s="38" t="s">
        <v>420</v>
      </c>
      <c r="C2295" s="30" t="s">
        <v>2670</v>
      </c>
      <c r="D2295" s="14" t="s">
        <v>422</v>
      </c>
    </row>
    <row r="2296" spans="1:4" ht="15" customHeight="1">
      <c r="A2296" s="8"/>
      <c r="B2296" s="24" t="s">
        <v>420</v>
      </c>
      <c r="C2296" s="30" t="s">
        <v>2609</v>
      </c>
      <c r="D2296" s="14" t="s">
        <v>422</v>
      </c>
    </row>
    <row r="2297" spans="1:4" ht="15" customHeight="1">
      <c r="A2297" s="8"/>
      <c r="B2297" s="24" t="s">
        <v>420</v>
      </c>
      <c r="C2297" s="30" t="s">
        <v>2609</v>
      </c>
      <c r="D2297" s="14" t="s">
        <v>422</v>
      </c>
    </row>
    <row r="2298" spans="1:4" ht="15" customHeight="1">
      <c r="A2298" s="8"/>
      <c r="B2298" s="24" t="s">
        <v>420</v>
      </c>
      <c r="C2298" s="30" t="s">
        <v>2609</v>
      </c>
      <c r="D2298" s="14" t="s">
        <v>422</v>
      </c>
    </row>
    <row r="2299" spans="1:4" ht="15" customHeight="1">
      <c r="A2299" s="8"/>
      <c r="B2299" s="38" t="s">
        <v>2672</v>
      </c>
      <c r="C2299" s="34" t="s">
        <v>2608</v>
      </c>
      <c r="D2299" s="14" t="s">
        <v>2673</v>
      </c>
    </row>
    <row r="2300" spans="1:4" ht="15" customHeight="1">
      <c r="A2300" s="8"/>
      <c r="B2300" s="38" t="s">
        <v>2694</v>
      </c>
      <c r="C2300" s="34" t="s">
        <v>2608</v>
      </c>
      <c r="D2300" s="14" t="s">
        <v>1846</v>
      </c>
    </row>
    <row r="2301" spans="1:4" ht="15" customHeight="1">
      <c r="A2301" s="8"/>
      <c r="B2301" s="38" t="s">
        <v>2674</v>
      </c>
      <c r="C2301" s="36">
        <v>4</v>
      </c>
      <c r="D2301" s="14" t="s">
        <v>2377</v>
      </c>
    </row>
    <row r="2302" spans="1:4" ht="15" customHeight="1">
      <c r="A2302" s="8"/>
      <c r="B2302" s="38" t="s">
        <v>2695</v>
      </c>
      <c r="C2302" s="36">
        <v>1</v>
      </c>
      <c r="D2302" s="14" t="s">
        <v>1111</v>
      </c>
    </row>
    <row r="2303" spans="1:4" ht="19.5" customHeight="1">
      <c r="A2303" s="8"/>
      <c r="B2303" s="38" t="s">
        <v>2706</v>
      </c>
      <c r="C2303" s="36">
        <v>1</v>
      </c>
      <c r="D2303" s="14" t="s">
        <v>2342</v>
      </c>
    </row>
    <row r="2304" spans="1:4" ht="19.5" customHeight="1">
      <c r="A2304" s="8"/>
      <c r="B2304" s="38" t="s">
        <v>2707</v>
      </c>
      <c r="C2304" s="36">
        <v>1</v>
      </c>
      <c r="D2304" s="14" t="s">
        <v>1086</v>
      </c>
    </row>
    <row r="2305" spans="1:4" ht="19.5" customHeight="1">
      <c r="A2305" s="8"/>
      <c r="B2305" s="38" t="s">
        <v>2708</v>
      </c>
      <c r="C2305" s="36">
        <v>1</v>
      </c>
      <c r="D2305" s="14" t="s">
        <v>1101</v>
      </c>
    </row>
    <row r="2306" spans="1:4" ht="19.5" customHeight="1">
      <c r="A2306" s="8" t="s">
        <v>1522</v>
      </c>
      <c r="B2306" s="37" t="s">
        <v>2709</v>
      </c>
      <c r="C2306" s="34" t="s">
        <v>2608</v>
      </c>
      <c r="D2306" s="14" t="s">
        <v>2104</v>
      </c>
    </row>
    <row r="2307" spans="1:4" ht="19.5" customHeight="1">
      <c r="A2307" s="8"/>
      <c r="B2307" s="38" t="s">
        <v>420</v>
      </c>
      <c r="C2307" s="30" t="s">
        <v>2670</v>
      </c>
      <c r="D2307" s="14" t="s">
        <v>422</v>
      </c>
    </row>
    <row r="2308" spans="1:4" ht="19.5" customHeight="1">
      <c r="A2308" s="8"/>
      <c r="B2308" s="38" t="s">
        <v>2671</v>
      </c>
      <c r="C2308" s="34" t="s">
        <v>2608</v>
      </c>
      <c r="D2308" s="14" t="s">
        <v>2107</v>
      </c>
    </row>
    <row r="2309" spans="1:4" ht="19.5" customHeight="1">
      <c r="A2309" s="8"/>
      <c r="B2309" s="24" t="s">
        <v>420</v>
      </c>
      <c r="C2309" s="30" t="s">
        <v>2609</v>
      </c>
      <c r="D2309" s="14" t="s">
        <v>422</v>
      </c>
    </row>
    <row r="2310" spans="1:4" ht="19.5" customHeight="1">
      <c r="A2310" s="8"/>
      <c r="B2310" s="24" t="s">
        <v>420</v>
      </c>
      <c r="C2310" s="30" t="s">
        <v>2609</v>
      </c>
      <c r="D2310" s="14" t="s">
        <v>422</v>
      </c>
    </row>
    <row r="2311" spans="1:4" ht="19.5" customHeight="1">
      <c r="A2311" s="8"/>
      <c r="B2311" s="24" t="s">
        <v>420</v>
      </c>
      <c r="C2311" s="30" t="s">
        <v>2609</v>
      </c>
      <c r="D2311" s="14" t="s">
        <v>422</v>
      </c>
    </row>
    <row r="2312" spans="1:4" ht="19.5" customHeight="1">
      <c r="A2312" s="8"/>
      <c r="B2312" s="38" t="s">
        <v>2672</v>
      </c>
      <c r="C2312" s="34" t="s">
        <v>2608</v>
      </c>
      <c r="D2312" s="14" t="s">
        <v>2673</v>
      </c>
    </row>
    <row r="2313" spans="1:4" ht="19.5" customHeight="1">
      <c r="A2313" s="8"/>
      <c r="B2313" s="38" t="s">
        <v>2694</v>
      </c>
      <c r="C2313" s="34" t="s">
        <v>2608</v>
      </c>
      <c r="D2313" s="14" t="s">
        <v>1846</v>
      </c>
    </row>
    <row r="2314" spans="1:4" ht="19.5" customHeight="1">
      <c r="A2314" s="8"/>
      <c r="B2314" s="38" t="s">
        <v>2674</v>
      </c>
      <c r="C2314" s="36">
        <v>4</v>
      </c>
      <c r="D2314" s="14" t="s">
        <v>2377</v>
      </c>
    </row>
    <row r="2315" spans="1:4" ht="19.5" customHeight="1">
      <c r="A2315" s="8"/>
      <c r="B2315" s="38" t="s">
        <v>2695</v>
      </c>
      <c r="C2315" s="36">
        <v>1</v>
      </c>
      <c r="D2315" s="14" t="s">
        <v>1111</v>
      </c>
    </row>
    <row r="2316" spans="1:4" ht="19.5" customHeight="1">
      <c r="A2316" s="8"/>
      <c r="B2316" s="38" t="s">
        <v>2706</v>
      </c>
      <c r="C2316" s="36">
        <v>1</v>
      </c>
      <c r="D2316" s="14" t="s">
        <v>2342</v>
      </c>
    </row>
    <row r="2317" spans="1:4" ht="19.5" customHeight="1">
      <c r="A2317" s="8"/>
      <c r="B2317" s="38" t="s">
        <v>2707</v>
      </c>
      <c r="C2317" s="36">
        <v>1</v>
      </c>
      <c r="D2317" s="14" t="s">
        <v>1086</v>
      </c>
    </row>
    <row r="2318" spans="1:4" ht="19.5" customHeight="1">
      <c r="A2318" s="8"/>
      <c r="B2318" s="38" t="s">
        <v>2708</v>
      </c>
      <c r="C2318" s="36">
        <v>1</v>
      </c>
      <c r="D2318" s="14" t="s">
        <v>1101</v>
      </c>
    </row>
    <row r="2319" spans="1:4" ht="19.5" customHeight="1">
      <c r="A2319" s="35"/>
      <c r="B2319" s="38"/>
      <c r="C2319" s="36"/>
      <c r="D2319" s="14"/>
    </row>
    <row r="2320" spans="1:4" ht="19.5" customHeight="1">
      <c r="A2320" s="35"/>
      <c r="B2320" s="38"/>
      <c r="C2320" s="36"/>
      <c r="D2320" s="14"/>
    </row>
    <row r="2321" spans="1:4" ht="19.5" customHeight="1">
      <c r="A2321" s="35"/>
      <c r="B2321" s="38"/>
      <c r="C2321" s="36"/>
      <c r="D2321" s="14"/>
    </row>
    <row r="2322" spans="1:4" ht="19.5" customHeight="1">
      <c r="A2322" s="35"/>
      <c r="B2322" s="38"/>
      <c r="C2322" s="36"/>
      <c r="D2322" s="14"/>
    </row>
    <row r="2323" spans="1:4" ht="19.5" customHeight="1">
      <c r="A2323" s="8" t="s">
        <v>1524</v>
      </c>
      <c r="B2323" s="37" t="s">
        <v>2709</v>
      </c>
      <c r="C2323" s="34" t="s">
        <v>2608</v>
      </c>
      <c r="D2323" s="14" t="s">
        <v>2104</v>
      </c>
    </row>
    <row r="2324" spans="1:4" ht="19.5" customHeight="1">
      <c r="A2324" s="8"/>
      <c r="B2324" s="38" t="s">
        <v>2683</v>
      </c>
      <c r="C2324" s="34" t="s">
        <v>2608</v>
      </c>
      <c r="D2324" s="14" t="s">
        <v>2109</v>
      </c>
    </row>
    <row r="2325" spans="1:4" ht="19.5" customHeight="1">
      <c r="A2325" s="8"/>
      <c r="B2325" s="38" t="s">
        <v>420</v>
      </c>
      <c r="C2325" s="30" t="s">
        <v>2670</v>
      </c>
      <c r="D2325" s="14" t="s">
        <v>422</v>
      </c>
    </row>
    <row r="2326" spans="1:4" ht="19.5" customHeight="1">
      <c r="A2326" s="8"/>
      <c r="B2326" s="24" t="s">
        <v>420</v>
      </c>
      <c r="C2326" s="30" t="s">
        <v>2609</v>
      </c>
      <c r="D2326" s="14" t="s">
        <v>422</v>
      </c>
    </row>
    <row r="2327" spans="1:4" ht="19.5" customHeight="1">
      <c r="A2327" s="8"/>
      <c r="B2327" s="24" t="s">
        <v>420</v>
      </c>
      <c r="C2327" s="30" t="s">
        <v>2609</v>
      </c>
      <c r="D2327" s="14" t="s">
        <v>422</v>
      </c>
    </row>
    <row r="2328" spans="1:4" ht="19.5" customHeight="1">
      <c r="A2328" s="8"/>
      <c r="B2328" s="24" t="s">
        <v>420</v>
      </c>
      <c r="C2328" s="30" t="s">
        <v>2609</v>
      </c>
      <c r="D2328" s="14" t="s">
        <v>422</v>
      </c>
    </row>
    <row r="2329" spans="1:4" ht="19.5" customHeight="1">
      <c r="A2329" s="8"/>
      <c r="B2329" s="38" t="s">
        <v>2672</v>
      </c>
      <c r="C2329" s="34" t="s">
        <v>2608</v>
      </c>
      <c r="D2329" s="14" t="s">
        <v>2673</v>
      </c>
    </row>
    <row r="2330" spans="1:4" ht="19.5" customHeight="1">
      <c r="A2330" s="8"/>
      <c r="B2330" s="38" t="s">
        <v>2694</v>
      </c>
      <c r="C2330" s="34" t="s">
        <v>2608</v>
      </c>
      <c r="D2330" s="14" t="s">
        <v>1846</v>
      </c>
    </row>
    <row r="2331" spans="1:4" ht="19.5" customHeight="1">
      <c r="A2331" s="8"/>
      <c r="B2331" s="38" t="s">
        <v>2674</v>
      </c>
      <c r="C2331" s="36">
        <v>4</v>
      </c>
      <c r="D2331" s="14" t="s">
        <v>2377</v>
      </c>
    </row>
    <row r="2332" spans="1:4" ht="19.5" customHeight="1">
      <c r="A2332" s="8"/>
      <c r="B2332" s="38" t="s">
        <v>2695</v>
      </c>
      <c r="C2332" s="36">
        <v>1</v>
      </c>
      <c r="D2332" s="14" t="s">
        <v>1111</v>
      </c>
    </row>
    <row r="2333" spans="1:4" ht="19.5" customHeight="1">
      <c r="A2333" s="8"/>
      <c r="B2333" s="38" t="s">
        <v>2706</v>
      </c>
      <c r="C2333" s="36">
        <v>1</v>
      </c>
      <c r="D2333" s="14" t="s">
        <v>2342</v>
      </c>
    </row>
    <row r="2334" spans="1:4" ht="19.5" customHeight="1">
      <c r="A2334" s="8"/>
      <c r="B2334" s="38" t="s">
        <v>2707</v>
      </c>
      <c r="C2334" s="36">
        <v>1</v>
      </c>
      <c r="D2334" s="14" t="s">
        <v>1086</v>
      </c>
    </row>
    <row r="2335" spans="1:4" ht="19.5" customHeight="1">
      <c r="A2335" s="8"/>
      <c r="B2335" s="38" t="s">
        <v>2708</v>
      </c>
      <c r="C2335" s="36">
        <v>1</v>
      </c>
      <c r="D2335" s="14" t="s">
        <v>1101</v>
      </c>
    </row>
    <row r="2336" spans="1:4" ht="19.5" customHeight="1">
      <c r="A2336" s="8" t="s">
        <v>1526</v>
      </c>
      <c r="B2336" s="37" t="s">
        <v>2709</v>
      </c>
      <c r="C2336" s="34" t="s">
        <v>2608</v>
      </c>
      <c r="D2336" s="14" t="s">
        <v>2104</v>
      </c>
    </row>
    <row r="2337" spans="1:4" ht="19.5" customHeight="1">
      <c r="A2337" s="8"/>
      <c r="B2337" s="38" t="s">
        <v>2671</v>
      </c>
      <c r="C2337" s="34" t="s">
        <v>2608</v>
      </c>
      <c r="D2337" s="14" t="s">
        <v>2107</v>
      </c>
    </row>
    <row r="2338" spans="1:4" ht="19.5" customHeight="1">
      <c r="A2338" s="8"/>
      <c r="B2338" s="38" t="s">
        <v>420</v>
      </c>
      <c r="C2338" s="30" t="s">
        <v>2670</v>
      </c>
      <c r="D2338" s="14" t="s">
        <v>422</v>
      </c>
    </row>
    <row r="2339" spans="1:4" ht="19.5" customHeight="1">
      <c r="A2339" s="8"/>
      <c r="B2339" s="24" t="s">
        <v>420</v>
      </c>
      <c r="C2339" s="30" t="s">
        <v>2609</v>
      </c>
      <c r="D2339" s="14" t="s">
        <v>422</v>
      </c>
    </row>
    <row r="2340" spans="1:4" ht="19.5" customHeight="1">
      <c r="A2340" s="8"/>
      <c r="B2340" s="24" t="s">
        <v>420</v>
      </c>
      <c r="C2340" s="30" t="s">
        <v>2609</v>
      </c>
      <c r="D2340" s="14" t="s">
        <v>422</v>
      </c>
    </row>
    <row r="2341" spans="1:4" ht="19.5" customHeight="1">
      <c r="A2341" s="8"/>
      <c r="B2341" s="24" t="s">
        <v>420</v>
      </c>
      <c r="C2341" s="30" t="s">
        <v>2609</v>
      </c>
      <c r="D2341" s="14" t="s">
        <v>422</v>
      </c>
    </row>
    <row r="2342" spans="1:4" ht="19.5" customHeight="1">
      <c r="A2342" s="8"/>
      <c r="B2342" s="38" t="s">
        <v>2710</v>
      </c>
      <c r="C2342" s="34" t="s">
        <v>2608</v>
      </c>
      <c r="D2342" s="14" t="s">
        <v>2115</v>
      </c>
    </row>
    <row r="2343" spans="1:4" ht="19.5" customHeight="1">
      <c r="A2343" s="8"/>
      <c r="B2343" s="38" t="s">
        <v>2711</v>
      </c>
      <c r="C2343" s="36">
        <v>4</v>
      </c>
      <c r="D2343" s="14" t="s">
        <v>2377</v>
      </c>
    </row>
    <row r="2344" spans="1:4" ht="19.5" customHeight="1">
      <c r="A2344" s="8"/>
      <c r="B2344" s="38" t="s">
        <v>2706</v>
      </c>
      <c r="C2344" s="36">
        <v>1</v>
      </c>
      <c r="D2344" s="14" t="s">
        <v>2342</v>
      </c>
    </row>
    <row r="2345" spans="1:4" ht="19.5" customHeight="1">
      <c r="A2345" s="8"/>
      <c r="B2345" s="38" t="s">
        <v>2707</v>
      </c>
      <c r="C2345" s="36">
        <v>1</v>
      </c>
      <c r="D2345" s="14" t="s">
        <v>1086</v>
      </c>
    </row>
    <row r="2346" spans="1:4" ht="19.5" customHeight="1">
      <c r="A2346" s="8"/>
      <c r="B2346" s="38" t="s">
        <v>2708</v>
      </c>
      <c r="C2346" s="36">
        <v>1</v>
      </c>
      <c r="D2346" s="14" t="s">
        <v>1101</v>
      </c>
    </row>
    <row r="2347" spans="1:4" ht="19.5" customHeight="1">
      <c r="A2347" s="35"/>
      <c r="B2347" s="38"/>
      <c r="C2347" s="36"/>
      <c r="D2347" s="14"/>
    </row>
    <row r="2348" spans="1:4" ht="19.5" customHeight="1">
      <c r="A2348" s="35"/>
      <c r="B2348" s="38"/>
      <c r="C2348" s="36"/>
      <c r="D2348" s="14"/>
    </row>
    <row r="2349" spans="1:4" ht="19.5" customHeight="1">
      <c r="A2349" s="35"/>
      <c r="B2349" s="38"/>
      <c r="C2349" s="36"/>
      <c r="D2349" s="14"/>
    </row>
    <row r="2350" spans="1:4" ht="19.5" customHeight="1">
      <c r="A2350" s="8" t="s">
        <v>1526</v>
      </c>
      <c r="B2350" s="37" t="s">
        <v>2709</v>
      </c>
      <c r="C2350" s="34" t="s">
        <v>2608</v>
      </c>
      <c r="D2350" s="14" t="s">
        <v>2104</v>
      </c>
    </row>
    <row r="2351" spans="1:4" ht="19.5" customHeight="1">
      <c r="A2351" s="8"/>
      <c r="B2351" s="38" t="s">
        <v>2671</v>
      </c>
      <c r="C2351" s="34" t="s">
        <v>2608</v>
      </c>
      <c r="D2351" s="14" t="s">
        <v>2107</v>
      </c>
    </row>
    <row r="2352" spans="1:4" ht="19.5" customHeight="1">
      <c r="A2352" s="8"/>
      <c r="B2352" s="38" t="s">
        <v>420</v>
      </c>
      <c r="C2352" s="30" t="s">
        <v>2670</v>
      </c>
      <c r="D2352" s="14" t="s">
        <v>422</v>
      </c>
    </row>
    <row r="2353" spans="1:4" ht="19.5" customHeight="1">
      <c r="A2353" s="8"/>
      <c r="B2353" s="24" t="s">
        <v>420</v>
      </c>
      <c r="C2353" s="30" t="s">
        <v>2609</v>
      </c>
      <c r="D2353" s="14" t="s">
        <v>422</v>
      </c>
    </row>
    <row r="2354" spans="1:4" ht="16.5" customHeight="1">
      <c r="A2354" s="8"/>
      <c r="B2354" s="24" t="s">
        <v>420</v>
      </c>
      <c r="C2354" s="30" t="s">
        <v>2609</v>
      </c>
      <c r="D2354" s="14" t="s">
        <v>422</v>
      </c>
    </row>
    <row r="2355" spans="1:4" ht="15" customHeight="1">
      <c r="A2355" s="8"/>
      <c r="B2355" s="24" t="s">
        <v>420</v>
      </c>
      <c r="C2355" s="30" t="s">
        <v>2609</v>
      </c>
      <c r="D2355" s="14" t="s">
        <v>422</v>
      </c>
    </row>
    <row r="2356" spans="1:4" ht="15" customHeight="1">
      <c r="A2356" s="8"/>
      <c r="B2356" s="38" t="s">
        <v>2710</v>
      </c>
      <c r="C2356" s="34" t="s">
        <v>2608</v>
      </c>
      <c r="D2356" s="14" t="s">
        <v>2115</v>
      </c>
    </row>
    <row r="2357" spans="1:4" ht="17.25" customHeight="1">
      <c r="A2357" s="8"/>
      <c r="B2357" s="38" t="s">
        <v>2674</v>
      </c>
      <c r="C2357" s="36">
        <v>4</v>
      </c>
      <c r="D2357" s="14" t="s">
        <v>2377</v>
      </c>
    </row>
    <row r="2358" spans="1:4" ht="16.5" customHeight="1">
      <c r="A2358" s="8"/>
      <c r="B2358" s="38" t="s">
        <v>2706</v>
      </c>
      <c r="C2358" s="36">
        <v>1</v>
      </c>
      <c r="D2358" s="14" t="s">
        <v>2342</v>
      </c>
    </row>
    <row r="2359" spans="1:4" ht="16.5" customHeight="1">
      <c r="A2359" s="8"/>
      <c r="B2359" s="38" t="s">
        <v>2707</v>
      </c>
      <c r="C2359" s="36">
        <v>1</v>
      </c>
      <c r="D2359" s="14" t="s">
        <v>1086</v>
      </c>
    </row>
    <row r="2360" spans="1:4" ht="19.5" customHeight="1">
      <c r="A2360" s="8"/>
      <c r="B2360" s="38" t="s">
        <v>2708</v>
      </c>
      <c r="C2360" s="36">
        <v>1</v>
      </c>
      <c r="D2360" s="14" t="s">
        <v>1101</v>
      </c>
    </row>
    <row r="2361" spans="1:4" ht="19.5" customHeight="1">
      <c r="A2361" s="8" t="s">
        <v>1530</v>
      </c>
      <c r="B2361" s="37" t="s">
        <v>2709</v>
      </c>
      <c r="C2361" s="34" t="s">
        <v>2608</v>
      </c>
      <c r="D2361" s="14" t="s">
        <v>2104</v>
      </c>
    </row>
    <row r="2362" spans="1:4" ht="19.5" customHeight="1">
      <c r="A2362" s="8"/>
      <c r="B2362" s="38" t="s">
        <v>2671</v>
      </c>
      <c r="C2362" s="34" t="s">
        <v>2608</v>
      </c>
      <c r="D2362" s="14" t="s">
        <v>2107</v>
      </c>
    </row>
    <row r="2363" spans="1:4" ht="19.5" customHeight="1">
      <c r="A2363" s="8"/>
      <c r="B2363" s="38" t="s">
        <v>420</v>
      </c>
      <c r="C2363" s="30" t="s">
        <v>2670</v>
      </c>
      <c r="D2363" s="14" t="s">
        <v>422</v>
      </c>
    </row>
    <row r="2364" spans="1:4" ht="19.5" customHeight="1">
      <c r="A2364" s="8"/>
      <c r="B2364" s="24" t="s">
        <v>420</v>
      </c>
      <c r="C2364" s="30" t="s">
        <v>2609</v>
      </c>
      <c r="D2364" s="14" t="s">
        <v>422</v>
      </c>
    </row>
    <row r="2365" spans="1:4" ht="19.5" customHeight="1">
      <c r="A2365" s="8"/>
      <c r="B2365" s="24" t="s">
        <v>420</v>
      </c>
      <c r="C2365" s="30" t="s">
        <v>2609</v>
      </c>
      <c r="D2365" s="14" t="s">
        <v>422</v>
      </c>
    </row>
    <row r="2366" spans="1:4" ht="19.5" customHeight="1">
      <c r="A2366" s="8"/>
      <c r="B2366" s="24" t="s">
        <v>420</v>
      </c>
      <c r="C2366" s="30" t="s">
        <v>2609</v>
      </c>
      <c r="D2366" s="14" t="s">
        <v>422</v>
      </c>
    </row>
    <row r="2367" spans="1:4" ht="19.5" customHeight="1">
      <c r="A2367" s="8"/>
      <c r="B2367" s="38" t="s">
        <v>2710</v>
      </c>
      <c r="C2367" s="34" t="s">
        <v>2608</v>
      </c>
      <c r="D2367" s="14" t="s">
        <v>2115</v>
      </c>
    </row>
    <row r="2368" spans="1:4" ht="19.5" customHeight="1">
      <c r="A2368" s="8"/>
      <c r="B2368" s="38" t="s">
        <v>2674</v>
      </c>
      <c r="C2368" s="36">
        <v>4</v>
      </c>
      <c r="D2368" s="14" t="s">
        <v>2377</v>
      </c>
    </row>
    <row r="2369" spans="1:4" ht="19.5" customHeight="1">
      <c r="A2369" s="8"/>
      <c r="B2369" s="38" t="s">
        <v>2712</v>
      </c>
      <c r="C2369" s="36">
        <v>1</v>
      </c>
      <c r="D2369" s="14" t="s">
        <v>2342</v>
      </c>
    </row>
    <row r="2370" spans="1:4" ht="19.5" customHeight="1">
      <c r="A2370" s="8"/>
      <c r="B2370" s="38" t="s">
        <v>2713</v>
      </c>
      <c r="C2370" s="36">
        <v>1</v>
      </c>
      <c r="D2370" s="14" t="s">
        <v>1082</v>
      </c>
    </row>
    <row r="2371" spans="1:4" ht="19.5" customHeight="1">
      <c r="A2371" s="8"/>
      <c r="B2371" s="38" t="s">
        <v>2714</v>
      </c>
      <c r="C2371" s="36">
        <v>1</v>
      </c>
      <c r="D2371" s="14" t="s">
        <v>1088</v>
      </c>
    </row>
    <row r="2372" spans="1:4" ht="19.5" customHeight="1">
      <c r="A2372" s="8"/>
      <c r="B2372" s="38" t="s">
        <v>2708</v>
      </c>
      <c r="C2372" s="36">
        <v>1</v>
      </c>
      <c r="D2372" s="14" t="s">
        <v>1101</v>
      </c>
    </row>
    <row r="2373" spans="1:4" ht="19.5" customHeight="1">
      <c r="A2373" s="8" t="s">
        <v>1532</v>
      </c>
      <c r="B2373" s="37" t="s">
        <v>2715</v>
      </c>
      <c r="C2373" s="34" t="s">
        <v>2608</v>
      </c>
      <c r="D2373" s="14" t="s">
        <v>2240</v>
      </c>
    </row>
    <row r="2374" spans="1:4" ht="19.5" customHeight="1">
      <c r="A2374" s="8"/>
      <c r="B2374" s="38" t="s">
        <v>2671</v>
      </c>
      <c r="C2374" s="34" t="s">
        <v>2608</v>
      </c>
      <c r="D2374" s="14" t="s">
        <v>2107</v>
      </c>
    </row>
    <row r="2375" spans="1:4" ht="19.5" customHeight="1">
      <c r="A2375" s="8"/>
      <c r="B2375" s="38" t="s">
        <v>420</v>
      </c>
      <c r="C2375" s="30" t="s">
        <v>2670</v>
      </c>
      <c r="D2375" s="14" t="s">
        <v>422</v>
      </c>
    </row>
    <row r="2376" spans="1:4" ht="19.5" customHeight="1">
      <c r="A2376" s="8"/>
      <c r="B2376" s="24" t="s">
        <v>420</v>
      </c>
      <c r="C2376" s="30" t="s">
        <v>2609</v>
      </c>
      <c r="D2376" s="14" t="s">
        <v>422</v>
      </c>
    </row>
    <row r="2377" spans="1:4" ht="19.5" customHeight="1">
      <c r="A2377" s="8"/>
      <c r="B2377" s="24" t="s">
        <v>2716</v>
      </c>
      <c r="C2377" s="34" t="s">
        <v>2608</v>
      </c>
      <c r="D2377" s="14" t="s">
        <v>2717</v>
      </c>
    </row>
    <row r="2378" spans="1:4" ht="19.5" customHeight="1">
      <c r="A2378" s="8"/>
      <c r="B2378" s="24" t="s">
        <v>420</v>
      </c>
      <c r="C2378" s="30" t="s">
        <v>2609</v>
      </c>
      <c r="D2378" s="14" t="s">
        <v>422</v>
      </c>
    </row>
    <row r="2379" spans="1:4" ht="19.5" customHeight="1">
      <c r="A2379" s="8"/>
      <c r="B2379" s="24" t="s">
        <v>420</v>
      </c>
      <c r="C2379" s="30" t="s">
        <v>2609</v>
      </c>
      <c r="D2379" s="14" t="s">
        <v>422</v>
      </c>
    </row>
    <row r="2380" spans="1:4" ht="19.5" customHeight="1">
      <c r="A2380" s="8"/>
      <c r="B2380" s="38" t="s">
        <v>2710</v>
      </c>
      <c r="C2380" s="34" t="s">
        <v>2608</v>
      </c>
      <c r="D2380" s="14" t="s">
        <v>2115</v>
      </c>
    </row>
    <row r="2381" spans="1:4" ht="19.5" customHeight="1">
      <c r="A2381" s="8"/>
      <c r="B2381" s="38" t="s">
        <v>2674</v>
      </c>
      <c r="C2381" s="36">
        <v>4</v>
      </c>
      <c r="D2381" s="14" t="s">
        <v>2377</v>
      </c>
    </row>
    <row r="2382" spans="1:4" ht="19.5" customHeight="1">
      <c r="A2382" s="8"/>
      <c r="B2382" s="38" t="s">
        <v>2712</v>
      </c>
      <c r="C2382" s="36">
        <v>1</v>
      </c>
      <c r="D2382" s="14" t="s">
        <v>2342</v>
      </c>
    </row>
    <row r="2383" spans="1:4" ht="19.5" customHeight="1">
      <c r="A2383" s="8"/>
      <c r="B2383" s="38" t="s">
        <v>2713</v>
      </c>
      <c r="C2383" s="36">
        <v>1</v>
      </c>
      <c r="D2383" s="14" t="s">
        <v>1082</v>
      </c>
    </row>
    <row r="2384" spans="1:4" ht="19.5" customHeight="1">
      <c r="A2384" s="8"/>
      <c r="B2384" s="38" t="s">
        <v>2714</v>
      </c>
      <c r="C2384" s="36">
        <v>1</v>
      </c>
      <c r="D2384" s="14" t="s">
        <v>1088</v>
      </c>
    </row>
    <row r="2385" spans="1:4" ht="19.5" customHeight="1">
      <c r="A2385" s="8"/>
      <c r="B2385" s="38" t="s">
        <v>2708</v>
      </c>
      <c r="C2385" s="36">
        <v>1</v>
      </c>
      <c r="D2385" s="14" t="s">
        <v>1101</v>
      </c>
    </row>
    <row r="2386" spans="1:4" ht="19.5" customHeight="1">
      <c r="A2386" s="8" t="s">
        <v>1534</v>
      </c>
      <c r="B2386" s="37" t="s">
        <v>2709</v>
      </c>
      <c r="C2386" s="34" t="s">
        <v>2608</v>
      </c>
      <c r="D2386" s="14" t="s">
        <v>2104</v>
      </c>
    </row>
    <row r="2387" spans="1:4" ht="19.5" customHeight="1">
      <c r="A2387" s="8"/>
      <c r="B2387" s="38" t="s">
        <v>2671</v>
      </c>
      <c r="C2387" s="34" t="s">
        <v>2608</v>
      </c>
      <c r="D2387" s="14" t="s">
        <v>2107</v>
      </c>
    </row>
    <row r="2388" spans="1:4" ht="19.5" customHeight="1">
      <c r="A2388" s="8"/>
      <c r="B2388" s="38" t="s">
        <v>420</v>
      </c>
      <c r="C2388" s="30" t="s">
        <v>2670</v>
      </c>
      <c r="D2388" s="14" t="s">
        <v>422</v>
      </c>
    </row>
    <row r="2389" spans="1:4" ht="19.5" customHeight="1">
      <c r="A2389" s="8"/>
      <c r="B2389" s="24" t="s">
        <v>420</v>
      </c>
      <c r="C2389" s="30" t="s">
        <v>2609</v>
      </c>
      <c r="D2389" s="14" t="s">
        <v>422</v>
      </c>
    </row>
    <row r="2390" spans="1:4" ht="19.5" customHeight="1">
      <c r="A2390" s="8"/>
      <c r="B2390" s="24" t="s">
        <v>420</v>
      </c>
      <c r="C2390" s="30" t="s">
        <v>2609</v>
      </c>
      <c r="D2390" s="14" t="s">
        <v>422</v>
      </c>
    </row>
    <row r="2391" spans="1:4" ht="19.5" customHeight="1">
      <c r="A2391" s="8"/>
      <c r="B2391" s="24" t="s">
        <v>420</v>
      </c>
      <c r="C2391" s="30" t="s">
        <v>2609</v>
      </c>
      <c r="D2391" s="14" t="s">
        <v>422</v>
      </c>
    </row>
    <row r="2392" spans="1:4" ht="19.5" customHeight="1">
      <c r="A2392" s="8"/>
      <c r="B2392" s="38" t="s">
        <v>2710</v>
      </c>
      <c r="C2392" s="34" t="s">
        <v>2608</v>
      </c>
      <c r="D2392" s="14" t="s">
        <v>2115</v>
      </c>
    </row>
    <row r="2393" spans="1:4" ht="19.5" customHeight="1">
      <c r="A2393" s="8"/>
      <c r="B2393" s="38" t="s">
        <v>2674</v>
      </c>
      <c r="C2393" s="36">
        <v>4</v>
      </c>
      <c r="D2393" s="14" t="s">
        <v>2377</v>
      </c>
    </row>
    <row r="2394" spans="1:4" ht="19.5" customHeight="1">
      <c r="A2394" s="8"/>
      <c r="B2394" s="38" t="s">
        <v>2712</v>
      </c>
      <c r="C2394" s="36">
        <v>1</v>
      </c>
      <c r="D2394" s="14" t="s">
        <v>2342</v>
      </c>
    </row>
    <row r="2395" spans="1:4" ht="19.5" customHeight="1">
      <c r="A2395" s="8"/>
      <c r="B2395" s="38" t="s">
        <v>2718</v>
      </c>
      <c r="C2395" s="36">
        <v>1</v>
      </c>
      <c r="D2395" s="14" t="s">
        <v>2719</v>
      </c>
    </row>
    <row r="2396" spans="1:4" ht="19.5" customHeight="1">
      <c r="A2396" s="8"/>
      <c r="B2396" s="38" t="s">
        <v>2720</v>
      </c>
      <c r="C2396" s="36">
        <v>4</v>
      </c>
      <c r="D2396" s="14" t="s">
        <v>1105</v>
      </c>
    </row>
    <row r="2397" spans="1:4" ht="19.5" customHeight="1">
      <c r="A2397" s="35"/>
      <c r="B2397" s="38"/>
      <c r="C2397" s="36"/>
      <c r="D2397" s="14"/>
    </row>
    <row r="2398" spans="1:4" ht="19.5" customHeight="1">
      <c r="A2398" s="35"/>
      <c r="B2398" s="38"/>
      <c r="C2398" s="36"/>
      <c r="D2398" s="14"/>
    </row>
    <row r="2399" spans="1:4" ht="19.5" customHeight="1">
      <c r="A2399" s="35"/>
      <c r="B2399" s="38"/>
      <c r="C2399" s="36"/>
      <c r="D2399" s="14"/>
    </row>
    <row r="2400" spans="1:4" ht="19.5" customHeight="1">
      <c r="A2400" s="8" t="s">
        <v>1536</v>
      </c>
      <c r="B2400" s="37" t="s">
        <v>2715</v>
      </c>
      <c r="C2400" s="34" t="s">
        <v>2608</v>
      </c>
      <c r="D2400" s="14" t="s">
        <v>2240</v>
      </c>
    </row>
    <row r="2401" spans="1:4" ht="19.5" customHeight="1">
      <c r="A2401" s="8"/>
      <c r="B2401" s="38" t="s">
        <v>2671</v>
      </c>
      <c r="C2401" s="34" t="s">
        <v>2608</v>
      </c>
      <c r="D2401" s="14" t="s">
        <v>2107</v>
      </c>
    </row>
    <row r="2402" spans="1:4" ht="16.5" customHeight="1">
      <c r="A2402" s="8"/>
      <c r="B2402" s="38" t="s">
        <v>420</v>
      </c>
      <c r="C2402" s="30" t="s">
        <v>2670</v>
      </c>
      <c r="D2402" s="14" t="s">
        <v>422</v>
      </c>
    </row>
    <row r="2403" spans="1:4" ht="18" customHeight="1">
      <c r="A2403" s="8"/>
      <c r="B2403" s="24" t="s">
        <v>420</v>
      </c>
      <c r="C2403" s="30" t="s">
        <v>2609</v>
      </c>
      <c r="D2403" s="14" t="s">
        <v>422</v>
      </c>
    </row>
    <row r="2404" spans="1:4" ht="19.5" customHeight="1">
      <c r="A2404" s="8"/>
      <c r="B2404" s="24" t="s">
        <v>2716</v>
      </c>
      <c r="C2404" s="34" t="s">
        <v>2608</v>
      </c>
      <c r="D2404" s="14" t="s">
        <v>2717</v>
      </c>
    </row>
    <row r="2405" spans="1:4" ht="19.5" customHeight="1">
      <c r="A2405" s="8"/>
      <c r="B2405" s="24" t="s">
        <v>420</v>
      </c>
      <c r="C2405" s="30" t="s">
        <v>2609</v>
      </c>
      <c r="D2405" s="14" t="s">
        <v>422</v>
      </c>
    </row>
    <row r="2406" spans="1:4" ht="19.5" customHeight="1">
      <c r="A2406" s="8"/>
      <c r="B2406" s="24" t="s">
        <v>420</v>
      </c>
      <c r="C2406" s="30" t="s">
        <v>2609</v>
      </c>
      <c r="D2406" s="14" t="s">
        <v>422</v>
      </c>
    </row>
    <row r="2407" spans="1:4" ht="19.5" customHeight="1">
      <c r="A2407" s="8"/>
      <c r="B2407" s="38" t="s">
        <v>2710</v>
      </c>
      <c r="C2407" s="34" t="s">
        <v>2608</v>
      </c>
      <c r="D2407" s="14" t="s">
        <v>2115</v>
      </c>
    </row>
    <row r="2408" spans="1:4" ht="19.5" customHeight="1">
      <c r="A2408" s="8"/>
      <c r="B2408" s="38" t="s">
        <v>2674</v>
      </c>
      <c r="C2408" s="36">
        <v>4</v>
      </c>
      <c r="D2408" s="14" t="s">
        <v>2377</v>
      </c>
    </row>
    <row r="2409" spans="1:4" ht="19.5" customHeight="1">
      <c r="A2409" s="8"/>
      <c r="B2409" s="38" t="s">
        <v>2712</v>
      </c>
      <c r="C2409" s="36">
        <v>1</v>
      </c>
      <c r="D2409" s="14" t="s">
        <v>2342</v>
      </c>
    </row>
    <row r="2410" spans="1:4" ht="19.5" customHeight="1">
      <c r="A2410" s="8"/>
      <c r="B2410" s="38" t="s">
        <v>2718</v>
      </c>
      <c r="C2410" s="36">
        <v>1</v>
      </c>
      <c r="D2410" s="14" t="s">
        <v>2719</v>
      </c>
    </row>
    <row r="2411" spans="1:4" ht="19.5" customHeight="1">
      <c r="A2411" s="8"/>
      <c r="B2411" s="38" t="s">
        <v>2720</v>
      </c>
      <c r="C2411" s="36">
        <v>4</v>
      </c>
      <c r="D2411" s="14" t="s">
        <v>1105</v>
      </c>
    </row>
    <row r="2412" spans="1:4" ht="19.5" customHeight="1">
      <c r="A2412" s="40"/>
      <c r="B2412" s="14"/>
      <c r="C2412" s="41"/>
      <c r="D2412" s="14"/>
    </row>
    <row r="2413" spans="1:4" ht="19.5" customHeight="1">
      <c r="A2413" s="40"/>
      <c r="B2413" s="14"/>
      <c r="C2413" s="41"/>
      <c r="D2413" s="14"/>
    </row>
    <row r="2414" spans="1:4" ht="19.5" customHeight="1">
      <c r="A2414" s="7" t="s">
        <v>1538</v>
      </c>
      <c r="B2414" s="24" t="s">
        <v>2721</v>
      </c>
      <c r="C2414" s="30" t="s">
        <v>2608</v>
      </c>
      <c r="D2414" s="14" t="s">
        <v>1874</v>
      </c>
    </row>
    <row r="2415" spans="1:4" ht="19.5" customHeight="1">
      <c r="A2415" s="7"/>
      <c r="B2415" s="24" t="s">
        <v>420</v>
      </c>
      <c r="C2415" s="30" t="s">
        <v>2609</v>
      </c>
      <c r="D2415" s="14" t="s">
        <v>422</v>
      </c>
    </row>
    <row r="2416" spans="1:4" ht="19.5" customHeight="1">
      <c r="A2416" s="7"/>
      <c r="B2416" s="24" t="s">
        <v>2722</v>
      </c>
      <c r="C2416" s="30" t="s">
        <v>2608</v>
      </c>
      <c r="D2416" s="14" t="s">
        <v>2184</v>
      </c>
    </row>
    <row r="2417" spans="1:4" ht="19.5" customHeight="1">
      <c r="A2417" s="7"/>
      <c r="B2417" s="24" t="s">
        <v>420</v>
      </c>
      <c r="C2417" s="30" t="s">
        <v>2609</v>
      </c>
      <c r="D2417" s="14" t="s">
        <v>422</v>
      </c>
    </row>
    <row r="2418" spans="1:4" ht="19.5" customHeight="1">
      <c r="A2418" s="7"/>
      <c r="B2418" s="24" t="s">
        <v>2723</v>
      </c>
      <c r="C2418" s="30" t="s">
        <v>2608</v>
      </c>
      <c r="D2418" s="14" t="s">
        <v>1878</v>
      </c>
    </row>
    <row r="2419" spans="1:4" ht="19.5" customHeight="1">
      <c r="A2419" s="7"/>
      <c r="B2419" s="24" t="s">
        <v>2724</v>
      </c>
      <c r="C2419" s="30" t="s">
        <v>2608</v>
      </c>
      <c r="D2419" s="14" t="s">
        <v>2000</v>
      </c>
    </row>
    <row r="2420" spans="1:4" ht="19.5" customHeight="1">
      <c r="A2420" s="7"/>
      <c r="B2420" s="24" t="s">
        <v>2725</v>
      </c>
      <c r="C2420" s="30" t="s">
        <v>2608</v>
      </c>
      <c r="D2420" s="14" t="s">
        <v>2726</v>
      </c>
    </row>
    <row r="2421" spans="1:4" ht="19.5" customHeight="1">
      <c r="A2421" s="7"/>
      <c r="B2421" s="24" t="s">
        <v>2727</v>
      </c>
      <c r="C2421" s="30" t="s">
        <v>2608</v>
      </c>
      <c r="D2421" s="14" t="s">
        <v>1894</v>
      </c>
    </row>
    <row r="2422" spans="1:4" ht="19.5" customHeight="1">
      <c r="A2422" s="7"/>
      <c r="B2422" s="24" t="s">
        <v>2728</v>
      </c>
      <c r="C2422" s="30" t="s">
        <v>2609</v>
      </c>
      <c r="D2422" s="14" t="s">
        <v>424</v>
      </c>
    </row>
    <row r="2423" spans="1:4" ht="19.5" customHeight="1">
      <c r="A2423" s="7"/>
      <c r="B2423" s="24" t="s">
        <v>2617</v>
      </c>
      <c r="C2423" s="36">
        <v>1</v>
      </c>
      <c r="D2423" s="14" t="s">
        <v>2293</v>
      </c>
    </row>
    <row r="2424" spans="1:4" ht="19.5" customHeight="1">
      <c r="A2424" s="7"/>
      <c r="B2424" s="24" t="s">
        <v>2618</v>
      </c>
      <c r="C2424" s="36">
        <v>1</v>
      </c>
      <c r="D2424" s="14" t="s">
        <v>2317</v>
      </c>
    </row>
    <row r="2425" spans="1:4" ht="19.5" customHeight="1">
      <c r="A2425" s="7"/>
      <c r="B2425" s="24" t="s">
        <v>2619</v>
      </c>
      <c r="C2425" s="36">
        <v>2</v>
      </c>
      <c r="D2425" s="14" t="s">
        <v>2565</v>
      </c>
    </row>
    <row r="2426" spans="1:4" ht="19.5" customHeight="1">
      <c r="A2426" s="7"/>
      <c r="B2426" s="24" t="s">
        <v>2620</v>
      </c>
      <c r="C2426" s="36">
        <v>2</v>
      </c>
      <c r="D2426" s="14" t="s">
        <v>547</v>
      </c>
    </row>
    <row r="2427" spans="1:4" ht="19.5" customHeight="1">
      <c r="A2427" s="7"/>
      <c r="B2427" s="24" t="s">
        <v>2621</v>
      </c>
      <c r="C2427" s="36">
        <v>4</v>
      </c>
      <c r="D2427" s="14" t="s">
        <v>1107</v>
      </c>
    </row>
    <row r="2428" spans="1:4" ht="19.5" customHeight="1">
      <c r="A2428" s="7"/>
      <c r="B2428" s="24" t="s">
        <v>2622</v>
      </c>
      <c r="C2428" s="36">
        <v>1</v>
      </c>
      <c r="D2428" s="14" t="s">
        <v>651</v>
      </c>
    </row>
    <row r="2429" spans="1:4" ht="19.5" customHeight="1">
      <c r="A2429" s="7"/>
      <c r="B2429" s="24" t="s">
        <v>2568</v>
      </c>
      <c r="C2429" s="30" t="s">
        <v>2623</v>
      </c>
      <c r="D2429" s="14" t="s">
        <v>2569</v>
      </c>
    </row>
    <row r="2430" spans="1:4" ht="19.5" customHeight="1">
      <c r="A2430" s="7"/>
      <c r="B2430" s="24" t="s">
        <v>2624</v>
      </c>
      <c r="C2430" s="36">
        <v>2</v>
      </c>
      <c r="D2430" s="14" t="s">
        <v>1179</v>
      </c>
    </row>
    <row r="2431" spans="1:4" ht="19.5" customHeight="1">
      <c r="A2431" s="7"/>
      <c r="B2431" s="24" t="s">
        <v>2625</v>
      </c>
      <c r="C2431" s="36">
        <v>2</v>
      </c>
      <c r="D2431" s="14" t="s">
        <v>2571</v>
      </c>
    </row>
    <row r="2432" spans="1:4" ht="19.5" customHeight="1">
      <c r="A2432" s="7"/>
      <c r="B2432" s="31" t="s">
        <v>2626</v>
      </c>
      <c r="C2432" s="32" t="s">
        <v>2623</v>
      </c>
      <c r="D2432" s="14" t="s">
        <v>1181</v>
      </c>
    </row>
    <row r="2433" spans="1:4" ht="19.5" customHeight="1">
      <c r="A2433" s="35"/>
      <c r="B2433" s="24"/>
      <c r="C2433" s="36"/>
      <c r="D2433" s="14"/>
    </row>
    <row r="2434" spans="1:4" ht="19.5" customHeight="1">
      <c r="A2434" s="35"/>
      <c r="B2434" s="24"/>
      <c r="C2434" s="36"/>
      <c r="D2434" s="14"/>
    </row>
    <row r="2435" spans="1:4" ht="19.5" customHeight="1">
      <c r="A2435" s="35"/>
      <c r="B2435" s="24"/>
      <c r="C2435" s="36"/>
      <c r="D2435" s="14"/>
    </row>
    <row r="2436" spans="1:4" ht="19.5" customHeight="1">
      <c r="A2436" s="35"/>
      <c r="B2436" s="24"/>
      <c r="C2436" s="36"/>
      <c r="D2436" s="14"/>
    </row>
    <row r="2437" spans="1:4" ht="19.5" customHeight="1">
      <c r="A2437" s="35"/>
      <c r="B2437" s="24"/>
      <c r="C2437" s="36"/>
      <c r="D2437" s="14"/>
    </row>
    <row r="2438" spans="1:4" ht="19.5" customHeight="1">
      <c r="A2438" s="35"/>
      <c r="B2438" s="24"/>
      <c r="C2438" s="36"/>
      <c r="D2438" s="14"/>
    </row>
    <row r="2439" spans="1:4" ht="19.5" customHeight="1">
      <c r="A2439" s="7" t="s">
        <v>1541</v>
      </c>
      <c r="B2439" s="24" t="s">
        <v>2729</v>
      </c>
      <c r="C2439" s="30" t="s">
        <v>2608</v>
      </c>
      <c r="D2439" s="14" t="s">
        <v>1870</v>
      </c>
    </row>
    <row r="2440" spans="1:4" ht="19.5" customHeight="1">
      <c r="A2440" s="7"/>
      <c r="B2440" s="24" t="s">
        <v>420</v>
      </c>
      <c r="C2440" s="30" t="s">
        <v>2609</v>
      </c>
      <c r="D2440" s="14" t="s">
        <v>422</v>
      </c>
    </row>
    <row r="2441" spans="1:4" ht="19.5" customHeight="1">
      <c r="A2441" s="7"/>
      <c r="B2441" s="24" t="s">
        <v>2722</v>
      </c>
      <c r="C2441" s="30" t="s">
        <v>2608</v>
      </c>
      <c r="D2441" s="14" t="s">
        <v>2184</v>
      </c>
    </row>
    <row r="2442" spans="1:4" ht="19.5" customHeight="1">
      <c r="A2442" s="7"/>
      <c r="B2442" s="24" t="s">
        <v>420</v>
      </c>
      <c r="C2442" s="30" t="s">
        <v>2609</v>
      </c>
      <c r="D2442" s="14" t="s">
        <v>422</v>
      </c>
    </row>
    <row r="2443" spans="1:4" ht="19.5" customHeight="1">
      <c r="A2443" s="7"/>
      <c r="B2443" s="24" t="s">
        <v>2723</v>
      </c>
      <c r="C2443" s="30" t="s">
        <v>2608</v>
      </c>
      <c r="D2443" s="14" t="s">
        <v>1878</v>
      </c>
    </row>
    <row r="2444" spans="1:4" ht="19.5" customHeight="1">
      <c r="A2444" s="7"/>
      <c r="B2444" s="24" t="s">
        <v>2724</v>
      </c>
      <c r="C2444" s="30" t="s">
        <v>2608</v>
      </c>
      <c r="D2444" s="14" t="s">
        <v>2000</v>
      </c>
    </row>
    <row r="2445" spans="1:4" ht="19.5" customHeight="1">
      <c r="A2445" s="7"/>
      <c r="B2445" s="24" t="s">
        <v>2725</v>
      </c>
      <c r="C2445" s="30" t="s">
        <v>2608</v>
      </c>
      <c r="D2445" s="14" t="s">
        <v>2726</v>
      </c>
    </row>
    <row r="2446" spans="1:4" ht="19.5" customHeight="1">
      <c r="A2446" s="7"/>
      <c r="B2446" s="24" t="s">
        <v>2727</v>
      </c>
      <c r="C2446" s="30" t="s">
        <v>2608</v>
      </c>
      <c r="D2446" s="14" t="s">
        <v>1894</v>
      </c>
    </row>
    <row r="2447" spans="1:4" ht="19.5" customHeight="1">
      <c r="A2447" s="7"/>
      <c r="B2447" s="24" t="s">
        <v>2728</v>
      </c>
      <c r="C2447" s="30" t="s">
        <v>2609</v>
      </c>
      <c r="D2447" s="14" t="s">
        <v>424</v>
      </c>
    </row>
    <row r="2448" spans="1:4" ht="19.5" customHeight="1">
      <c r="A2448" s="7"/>
      <c r="B2448" s="24" t="s">
        <v>2617</v>
      </c>
      <c r="C2448" s="36">
        <v>1</v>
      </c>
      <c r="D2448" s="14" t="s">
        <v>2293</v>
      </c>
    </row>
    <row r="2449" spans="1:4" ht="19.5" customHeight="1">
      <c r="A2449" s="7"/>
      <c r="B2449" s="24" t="s">
        <v>2618</v>
      </c>
      <c r="C2449" s="36">
        <v>1</v>
      </c>
      <c r="D2449" s="14" t="s">
        <v>2317</v>
      </c>
    </row>
    <row r="2450" spans="1:4" ht="19.5" customHeight="1">
      <c r="A2450" s="7"/>
      <c r="B2450" s="24" t="s">
        <v>2619</v>
      </c>
      <c r="C2450" s="36">
        <v>2</v>
      </c>
      <c r="D2450" s="14" t="s">
        <v>2565</v>
      </c>
    </row>
    <row r="2451" spans="1:4" ht="19.5" customHeight="1">
      <c r="A2451" s="7"/>
      <c r="B2451" s="24" t="s">
        <v>2620</v>
      </c>
      <c r="C2451" s="36">
        <v>2</v>
      </c>
      <c r="D2451" s="14" t="s">
        <v>547</v>
      </c>
    </row>
    <row r="2452" spans="1:4" ht="19.5" customHeight="1">
      <c r="A2452" s="7"/>
      <c r="B2452" s="24" t="s">
        <v>2621</v>
      </c>
      <c r="C2452" s="36">
        <v>4</v>
      </c>
      <c r="D2452" s="14" t="s">
        <v>1107</v>
      </c>
    </row>
    <row r="2453" spans="1:4" ht="19.5" customHeight="1">
      <c r="A2453" s="7"/>
      <c r="B2453" s="24" t="s">
        <v>2622</v>
      </c>
      <c r="C2453" s="36">
        <v>1</v>
      </c>
      <c r="D2453" s="14" t="s">
        <v>651</v>
      </c>
    </row>
    <row r="2454" spans="1:4" ht="19.5" customHeight="1">
      <c r="A2454" s="7"/>
      <c r="B2454" s="24" t="s">
        <v>2568</v>
      </c>
      <c r="C2454" s="30" t="s">
        <v>2623</v>
      </c>
      <c r="D2454" s="14" t="s">
        <v>2569</v>
      </c>
    </row>
    <row r="2455" spans="1:4" ht="19.5" customHeight="1">
      <c r="A2455" s="7"/>
      <c r="B2455" s="24" t="s">
        <v>2624</v>
      </c>
      <c r="C2455" s="36">
        <v>2</v>
      </c>
      <c r="D2455" s="14" t="s">
        <v>1179</v>
      </c>
    </row>
    <row r="2456" spans="1:4" ht="19.5" customHeight="1">
      <c r="A2456" s="7"/>
      <c r="B2456" s="24" t="s">
        <v>2625</v>
      </c>
      <c r="C2456" s="36">
        <v>2</v>
      </c>
      <c r="D2456" s="14" t="s">
        <v>2571</v>
      </c>
    </row>
    <row r="2457" spans="1:4" ht="19.5" customHeight="1">
      <c r="A2457" s="7"/>
      <c r="B2457" s="31" t="s">
        <v>2626</v>
      </c>
      <c r="C2457" s="32" t="s">
        <v>2623</v>
      </c>
      <c r="D2457" s="14" t="s">
        <v>1181</v>
      </c>
    </row>
    <row r="2458" spans="1:4" ht="19.5" customHeight="1">
      <c r="A2458" s="10" t="s">
        <v>1543</v>
      </c>
      <c r="B2458" s="24" t="s">
        <v>2730</v>
      </c>
      <c r="C2458" s="30" t="s">
        <v>2608</v>
      </c>
      <c r="D2458" s="14" t="s">
        <v>1870</v>
      </c>
    </row>
    <row r="2459" spans="1:4" ht="19.5" customHeight="1">
      <c r="A2459" s="10"/>
      <c r="B2459" s="24" t="s">
        <v>420</v>
      </c>
      <c r="C2459" s="30" t="s">
        <v>2609</v>
      </c>
      <c r="D2459" s="14" t="s">
        <v>422</v>
      </c>
    </row>
    <row r="2460" spans="1:4" ht="19.5" customHeight="1">
      <c r="A2460" s="10"/>
      <c r="B2460" s="24" t="s">
        <v>2722</v>
      </c>
      <c r="C2460" s="30" t="s">
        <v>2608</v>
      </c>
      <c r="D2460" s="14" t="s">
        <v>2184</v>
      </c>
    </row>
    <row r="2461" spans="1:4" ht="19.5" customHeight="1">
      <c r="A2461" s="10"/>
      <c r="B2461" s="24" t="s">
        <v>420</v>
      </c>
      <c r="C2461" s="30" t="s">
        <v>2609</v>
      </c>
      <c r="D2461" s="14" t="s">
        <v>422</v>
      </c>
    </row>
    <row r="2462" spans="1:4" ht="19.5" customHeight="1">
      <c r="A2462" s="10"/>
      <c r="B2462" s="24" t="s">
        <v>2723</v>
      </c>
      <c r="C2462" s="30" t="s">
        <v>2608</v>
      </c>
      <c r="D2462" s="14" t="s">
        <v>1878</v>
      </c>
    </row>
    <row r="2463" spans="1:4" ht="19.5" customHeight="1">
      <c r="A2463" s="10"/>
      <c r="B2463" s="24" t="s">
        <v>2724</v>
      </c>
      <c r="C2463" s="30" t="s">
        <v>2608</v>
      </c>
      <c r="D2463" s="14" t="s">
        <v>2000</v>
      </c>
    </row>
    <row r="2464" spans="1:4" ht="19.5" customHeight="1">
      <c r="A2464" s="10"/>
      <c r="B2464" s="24" t="s">
        <v>2725</v>
      </c>
      <c r="C2464" s="30" t="s">
        <v>2608</v>
      </c>
      <c r="D2464" s="14" t="s">
        <v>2726</v>
      </c>
    </row>
    <row r="2465" spans="1:4" ht="19.5" customHeight="1">
      <c r="A2465" s="10"/>
      <c r="B2465" s="24" t="s">
        <v>2617</v>
      </c>
      <c r="C2465" s="36">
        <v>1</v>
      </c>
      <c r="D2465" s="14" t="s">
        <v>2293</v>
      </c>
    </row>
    <row r="2466" spans="1:4" ht="19.5" customHeight="1">
      <c r="A2466" s="10"/>
      <c r="B2466" s="24" t="s">
        <v>2618</v>
      </c>
      <c r="C2466" s="36">
        <v>1</v>
      </c>
      <c r="D2466" s="14" t="s">
        <v>2317</v>
      </c>
    </row>
    <row r="2467" spans="1:4" ht="12.75" customHeight="1">
      <c r="A2467" s="10"/>
      <c r="B2467" s="24" t="s">
        <v>2619</v>
      </c>
      <c r="C2467" s="36">
        <v>4</v>
      </c>
      <c r="D2467" s="14" t="s">
        <v>2565</v>
      </c>
    </row>
    <row r="2468" spans="1:4" ht="12.75" customHeight="1">
      <c r="A2468" s="10"/>
      <c r="B2468" s="24" t="s">
        <v>2620</v>
      </c>
      <c r="C2468" s="36">
        <v>2</v>
      </c>
      <c r="D2468" s="14" t="s">
        <v>547</v>
      </c>
    </row>
    <row r="2469" spans="1:4" ht="19.5" customHeight="1">
      <c r="A2469" s="10"/>
      <c r="B2469" s="24" t="s">
        <v>2621</v>
      </c>
      <c r="C2469" s="36">
        <v>4</v>
      </c>
      <c r="D2469" s="14" t="s">
        <v>1107</v>
      </c>
    </row>
    <row r="2470" spans="1:4" ht="19.5" customHeight="1">
      <c r="A2470" s="10"/>
      <c r="B2470" s="24" t="s">
        <v>2622</v>
      </c>
      <c r="C2470" s="36" t="s">
        <v>2656</v>
      </c>
      <c r="D2470" s="14" t="s">
        <v>651</v>
      </c>
    </row>
    <row r="2471" spans="1:4" ht="15" customHeight="1">
      <c r="A2471" s="10"/>
      <c r="B2471" s="24" t="s">
        <v>2568</v>
      </c>
      <c r="C2471" s="30" t="s">
        <v>2623</v>
      </c>
      <c r="D2471" s="14" t="s">
        <v>2569</v>
      </c>
    </row>
    <row r="2472" spans="1:4" ht="15" customHeight="1">
      <c r="A2472" s="35"/>
      <c r="B2472" s="24"/>
      <c r="C2472" s="36"/>
      <c r="D2472" s="14"/>
    </row>
    <row r="2473" spans="1:4" ht="15" customHeight="1">
      <c r="A2473" s="35"/>
      <c r="B2473" s="24"/>
      <c r="C2473" s="36"/>
      <c r="D2473" s="14"/>
    </row>
    <row r="2474" spans="1:4" ht="15" customHeight="1">
      <c r="A2474" s="35"/>
      <c r="B2474" s="24"/>
      <c r="C2474" s="36"/>
      <c r="D2474" s="14"/>
    </row>
    <row r="2475" spans="1:4" ht="15" customHeight="1">
      <c r="A2475" s="35"/>
      <c r="B2475" s="24"/>
      <c r="C2475" s="36"/>
      <c r="D2475" s="14"/>
    </row>
    <row r="2476" spans="1:4" ht="15" customHeight="1">
      <c r="A2476" s="35"/>
      <c r="B2476" s="24"/>
      <c r="C2476" s="36"/>
      <c r="D2476" s="14"/>
    </row>
    <row r="2477" spans="1:4" ht="15" customHeight="1">
      <c r="A2477" s="35"/>
      <c r="B2477" s="24"/>
      <c r="C2477" s="36"/>
      <c r="D2477" s="14"/>
    </row>
    <row r="2478" spans="1:4" ht="15" customHeight="1">
      <c r="A2478" s="35"/>
      <c r="B2478" s="24"/>
      <c r="C2478" s="36"/>
      <c r="D2478" s="14"/>
    </row>
    <row r="2479" spans="1:4" ht="15" customHeight="1">
      <c r="A2479" s="35"/>
      <c r="B2479" s="24"/>
      <c r="C2479" s="36"/>
      <c r="D2479" s="14"/>
    </row>
    <row r="2480" spans="1:4" ht="15" customHeight="1">
      <c r="A2480" s="35"/>
      <c r="B2480" s="24"/>
      <c r="C2480" s="36"/>
      <c r="D2480" s="14"/>
    </row>
    <row r="2481" spans="1:4" ht="15" customHeight="1">
      <c r="A2481" s="10" t="s">
        <v>1545</v>
      </c>
      <c r="B2481" s="24" t="s">
        <v>2731</v>
      </c>
      <c r="C2481" s="30" t="s">
        <v>2608</v>
      </c>
      <c r="D2481" s="14" t="s">
        <v>1902</v>
      </c>
    </row>
    <row r="2482" spans="1:4" ht="15" customHeight="1">
      <c r="A2482" s="10"/>
      <c r="B2482" s="24" t="s">
        <v>420</v>
      </c>
      <c r="C2482" s="30" t="s">
        <v>2609</v>
      </c>
      <c r="D2482" s="14" t="s">
        <v>422</v>
      </c>
    </row>
    <row r="2483" spans="1:4" ht="15" customHeight="1">
      <c r="A2483" s="10"/>
      <c r="B2483" s="24" t="s">
        <v>2722</v>
      </c>
      <c r="C2483" s="30" t="s">
        <v>2608</v>
      </c>
      <c r="D2483" s="14" t="s">
        <v>2184</v>
      </c>
    </row>
    <row r="2484" spans="1:4" ht="15" customHeight="1">
      <c r="A2484" s="10"/>
      <c r="B2484" s="24" t="s">
        <v>420</v>
      </c>
      <c r="C2484" s="30" t="s">
        <v>2609</v>
      </c>
      <c r="D2484" s="14" t="s">
        <v>422</v>
      </c>
    </row>
    <row r="2485" spans="1:4" ht="15" customHeight="1">
      <c r="A2485" s="10"/>
      <c r="B2485" s="24" t="s">
        <v>2732</v>
      </c>
      <c r="C2485" s="30" t="s">
        <v>2608</v>
      </c>
      <c r="D2485" s="14" t="s">
        <v>1878</v>
      </c>
    </row>
    <row r="2486" spans="1:4" ht="15" customHeight="1">
      <c r="A2486" s="10"/>
      <c r="B2486" s="24" t="s">
        <v>2733</v>
      </c>
      <c r="C2486" s="30" t="s">
        <v>2608</v>
      </c>
      <c r="D2486" s="14" t="s">
        <v>2000</v>
      </c>
    </row>
    <row r="2487" spans="1:4" ht="15" customHeight="1">
      <c r="A2487" s="10"/>
      <c r="B2487" s="24" t="s">
        <v>2658</v>
      </c>
      <c r="C2487" s="30" t="s">
        <v>2608</v>
      </c>
      <c r="D2487" s="14" t="s">
        <v>2038</v>
      </c>
    </row>
    <row r="2488" spans="1:4" ht="15" customHeight="1">
      <c r="A2488" s="10"/>
      <c r="B2488" s="24" t="s">
        <v>2725</v>
      </c>
      <c r="C2488" s="30" t="s">
        <v>2608</v>
      </c>
      <c r="D2488" s="14" t="s">
        <v>2726</v>
      </c>
    </row>
    <row r="2489" spans="1:4" ht="15" customHeight="1">
      <c r="A2489" s="10"/>
      <c r="B2489" s="24" t="s">
        <v>2617</v>
      </c>
      <c r="C2489" s="36">
        <v>1</v>
      </c>
      <c r="D2489" s="14" t="s">
        <v>2293</v>
      </c>
    </row>
    <row r="2490" spans="1:4" ht="15" customHeight="1">
      <c r="A2490" s="10"/>
      <c r="B2490" s="24" t="s">
        <v>2618</v>
      </c>
      <c r="C2490" s="36">
        <v>1</v>
      </c>
      <c r="D2490" s="14" t="s">
        <v>2317</v>
      </c>
    </row>
    <row r="2491" spans="1:4" ht="15" customHeight="1">
      <c r="A2491" s="10"/>
      <c r="B2491" s="24" t="s">
        <v>2619</v>
      </c>
      <c r="C2491" s="36">
        <v>4</v>
      </c>
      <c r="D2491" s="14" t="s">
        <v>2565</v>
      </c>
    </row>
    <row r="2492" spans="1:4" ht="15" customHeight="1">
      <c r="A2492" s="10"/>
      <c r="B2492" s="24" t="s">
        <v>2620</v>
      </c>
      <c r="C2492" s="36">
        <v>2</v>
      </c>
      <c r="D2492" s="14" t="s">
        <v>547</v>
      </c>
    </row>
    <row r="2493" spans="1:4" ht="15" customHeight="1">
      <c r="A2493" s="10"/>
      <c r="B2493" s="24" t="s">
        <v>2621</v>
      </c>
      <c r="C2493" s="36">
        <v>4</v>
      </c>
      <c r="D2493" s="14" t="s">
        <v>1107</v>
      </c>
    </row>
    <row r="2494" spans="1:4" ht="15" customHeight="1">
      <c r="A2494" s="10"/>
      <c r="B2494" s="24" t="s">
        <v>2622</v>
      </c>
      <c r="C2494" s="36" t="s">
        <v>2656</v>
      </c>
      <c r="D2494" s="14" t="s">
        <v>651</v>
      </c>
    </row>
    <row r="2495" spans="1:4" ht="19.5" customHeight="1">
      <c r="A2495" s="10"/>
      <c r="B2495" s="24" t="s">
        <v>2568</v>
      </c>
      <c r="C2495" s="30" t="s">
        <v>2623</v>
      </c>
      <c r="D2495" s="14" t="s">
        <v>2569</v>
      </c>
    </row>
    <row r="2496" spans="1:4" ht="19.5" customHeight="1">
      <c r="A2496" s="35"/>
      <c r="B2496" s="24"/>
      <c r="C2496" s="36"/>
      <c r="D2496" s="14"/>
    </row>
    <row r="2497" spans="1:4" ht="19.5" customHeight="1">
      <c r="A2497" s="35"/>
      <c r="B2497" s="24"/>
      <c r="C2497" s="36"/>
      <c r="D2497" s="14"/>
    </row>
    <row r="2498" spans="1:4" ht="19.5" customHeight="1">
      <c r="A2498" s="35"/>
      <c r="B2498" s="24"/>
      <c r="C2498" s="36"/>
      <c r="D2498" s="14"/>
    </row>
    <row r="2499" spans="1:4" ht="15" customHeight="1">
      <c r="A2499" s="35"/>
      <c r="B2499" s="24"/>
      <c r="C2499" s="36"/>
      <c r="D2499" s="14"/>
    </row>
    <row r="2500" spans="1:4" ht="15" customHeight="1">
      <c r="A2500" s="7" t="s">
        <v>1547</v>
      </c>
      <c r="B2500" s="24" t="s">
        <v>2734</v>
      </c>
      <c r="C2500" s="30" t="s">
        <v>2608</v>
      </c>
      <c r="D2500" s="14" t="s">
        <v>1902</v>
      </c>
    </row>
    <row r="2501" spans="1:4" ht="15" customHeight="1">
      <c r="A2501" s="7"/>
      <c r="B2501" s="24" t="s">
        <v>420</v>
      </c>
      <c r="C2501" s="30" t="s">
        <v>2609</v>
      </c>
      <c r="D2501" s="14" t="s">
        <v>422</v>
      </c>
    </row>
    <row r="2502" spans="1:4" ht="15" customHeight="1">
      <c r="A2502" s="7"/>
      <c r="B2502" s="24" t="s">
        <v>2722</v>
      </c>
      <c r="C2502" s="30" t="s">
        <v>2608</v>
      </c>
      <c r="D2502" s="14" t="s">
        <v>2184</v>
      </c>
    </row>
    <row r="2503" spans="1:4" ht="15" customHeight="1">
      <c r="A2503" s="7"/>
      <c r="B2503" s="24" t="s">
        <v>420</v>
      </c>
      <c r="C2503" s="30" t="s">
        <v>2609</v>
      </c>
      <c r="D2503" s="14" t="s">
        <v>422</v>
      </c>
    </row>
    <row r="2504" spans="1:4" ht="15" customHeight="1">
      <c r="A2504" s="7"/>
      <c r="B2504" s="24" t="s">
        <v>2732</v>
      </c>
      <c r="C2504" s="30" t="s">
        <v>2608</v>
      </c>
      <c r="D2504" s="14" t="s">
        <v>1878</v>
      </c>
    </row>
    <row r="2505" spans="1:4" ht="15" customHeight="1">
      <c r="A2505" s="7"/>
      <c r="B2505" s="24" t="s">
        <v>2733</v>
      </c>
      <c r="C2505" s="30" t="s">
        <v>2608</v>
      </c>
      <c r="D2505" s="14" t="s">
        <v>2000</v>
      </c>
    </row>
    <row r="2506" spans="1:4" ht="15" customHeight="1">
      <c r="A2506" s="7"/>
      <c r="B2506" s="24" t="s">
        <v>2725</v>
      </c>
      <c r="C2506" s="30" t="s">
        <v>2608</v>
      </c>
      <c r="D2506" s="14" t="s">
        <v>2726</v>
      </c>
    </row>
    <row r="2507" spans="1:4" ht="15" customHeight="1">
      <c r="A2507" s="7"/>
      <c r="B2507" s="24" t="s">
        <v>2735</v>
      </c>
      <c r="C2507" s="30" t="s">
        <v>2608</v>
      </c>
      <c r="D2507" s="14" t="s">
        <v>2083</v>
      </c>
    </row>
    <row r="2508" spans="1:4" ht="15" customHeight="1">
      <c r="A2508" s="7"/>
      <c r="B2508" s="24" t="s">
        <v>2727</v>
      </c>
      <c r="C2508" s="30" t="s">
        <v>2608</v>
      </c>
      <c r="D2508" s="14" t="s">
        <v>1894</v>
      </c>
    </row>
    <row r="2509" spans="1:4" ht="15" customHeight="1">
      <c r="A2509" s="7"/>
      <c r="B2509" s="24" t="s">
        <v>2728</v>
      </c>
      <c r="C2509" s="30" t="s">
        <v>2609</v>
      </c>
      <c r="D2509" s="14" t="s">
        <v>424</v>
      </c>
    </row>
    <row r="2510" spans="1:4" ht="15" customHeight="1">
      <c r="A2510" s="7"/>
      <c r="B2510" s="24" t="s">
        <v>2617</v>
      </c>
      <c r="C2510" s="36">
        <v>1</v>
      </c>
      <c r="D2510" s="14" t="s">
        <v>2293</v>
      </c>
    </row>
    <row r="2511" spans="1:4" ht="15" customHeight="1">
      <c r="A2511" s="7"/>
      <c r="B2511" s="24" t="s">
        <v>2618</v>
      </c>
      <c r="C2511" s="36">
        <v>1</v>
      </c>
      <c r="D2511" s="14" t="s">
        <v>2317</v>
      </c>
    </row>
    <row r="2512" spans="1:4" ht="15" customHeight="1">
      <c r="A2512" s="7"/>
      <c r="B2512" s="24" t="s">
        <v>2619</v>
      </c>
      <c r="C2512" s="36">
        <v>4</v>
      </c>
      <c r="D2512" s="14" t="s">
        <v>2565</v>
      </c>
    </row>
    <row r="2513" spans="1:4" ht="15" customHeight="1">
      <c r="A2513" s="7"/>
      <c r="B2513" s="24" t="s">
        <v>2620</v>
      </c>
      <c r="C2513" s="36">
        <v>2</v>
      </c>
      <c r="D2513" s="14" t="s">
        <v>547</v>
      </c>
    </row>
    <row r="2514" spans="1:4" ht="19.5" customHeight="1">
      <c r="A2514" s="7"/>
      <c r="B2514" s="24" t="s">
        <v>2621</v>
      </c>
      <c r="C2514" s="36">
        <v>4</v>
      </c>
      <c r="D2514" s="14" t="s">
        <v>1107</v>
      </c>
    </row>
    <row r="2515" spans="1:4" ht="19.5" customHeight="1">
      <c r="A2515" s="7"/>
      <c r="B2515" s="24" t="s">
        <v>2622</v>
      </c>
      <c r="C2515" s="36" t="s">
        <v>2656</v>
      </c>
      <c r="D2515" s="14" t="s">
        <v>651</v>
      </c>
    </row>
    <row r="2516" spans="1:4" ht="26.25" customHeight="1">
      <c r="A2516" s="7"/>
      <c r="B2516" s="24" t="s">
        <v>2568</v>
      </c>
      <c r="C2516" s="30" t="s">
        <v>2623</v>
      </c>
      <c r="D2516" s="14" t="s">
        <v>2569</v>
      </c>
    </row>
    <row r="2517" spans="1:4" ht="19.5" customHeight="1">
      <c r="A2517" s="7"/>
      <c r="B2517" s="24" t="s">
        <v>2624</v>
      </c>
      <c r="C2517" s="36">
        <v>2</v>
      </c>
      <c r="D2517" s="14" t="s">
        <v>1179</v>
      </c>
    </row>
    <row r="2518" spans="1:4" ht="19.5" customHeight="1">
      <c r="A2518" s="7"/>
      <c r="B2518" s="24" t="s">
        <v>2625</v>
      </c>
      <c r="C2518" s="36">
        <v>2</v>
      </c>
      <c r="D2518" s="14" t="s">
        <v>2571</v>
      </c>
    </row>
    <row r="2519" spans="1:4" ht="19.5" customHeight="1">
      <c r="A2519" s="7"/>
      <c r="B2519" s="31" t="s">
        <v>2626</v>
      </c>
      <c r="C2519" s="32" t="s">
        <v>2623</v>
      </c>
      <c r="D2519" s="14" t="s">
        <v>1181</v>
      </c>
    </row>
    <row r="2520" spans="1:4" ht="19.5" customHeight="1">
      <c r="A2520" s="35"/>
      <c r="B2520" s="24"/>
      <c r="C2520" s="36"/>
      <c r="D2520" s="14"/>
    </row>
    <row r="2521" spans="1:4" ht="19.5" customHeight="1">
      <c r="A2521" s="35"/>
      <c r="B2521" s="24"/>
      <c r="C2521" s="36"/>
      <c r="D2521" s="14"/>
    </row>
    <row r="2522" spans="1:4" ht="19.5" customHeight="1">
      <c r="A2522" s="35"/>
      <c r="B2522" s="24"/>
      <c r="C2522" s="36"/>
      <c r="D2522" s="14"/>
    </row>
    <row r="2523" spans="1:4" ht="19.5" customHeight="1">
      <c r="A2523" s="35"/>
      <c r="B2523" s="24"/>
      <c r="C2523" s="36"/>
      <c r="D2523" s="14"/>
    </row>
    <row r="2524" spans="1:4" ht="19.5" customHeight="1">
      <c r="A2524" s="35"/>
      <c r="B2524" s="24"/>
      <c r="C2524" s="36"/>
      <c r="D2524" s="14"/>
    </row>
    <row r="2525" spans="1:4" ht="19.5" customHeight="1">
      <c r="A2525" s="35"/>
      <c r="B2525" s="24"/>
      <c r="C2525" s="36"/>
      <c r="D2525" s="14"/>
    </row>
    <row r="2526" spans="1:4" ht="19.5" customHeight="1">
      <c r="A2526" s="35"/>
      <c r="B2526" s="24"/>
      <c r="C2526" s="36"/>
      <c r="D2526" s="14"/>
    </row>
    <row r="2527" spans="1:4" ht="19.5" customHeight="1">
      <c r="A2527" s="7" t="s">
        <v>1549</v>
      </c>
      <c r="B2527" s="24" t="s">
        <v>2731</v>
      </c>
      <c r="C2527" s="30" t="s">
        <v>2608</v>
      </c>
      <c r="D2527" s="14" t="s">
        <v>1902</v>
      </c>
    </row>
    <row r="2528" spans="1:4" ht="19.5" customHeight="1">
      <c r="A2528" s="7"/>
      <c r="B2528" s="24" t="s">
        <v>420</v>
      </c>
      <c r="C2528" s="30" t="s">
        <v>2609</v>
      </c>
      <c r="D2528" s="14" t="s">
        <v>422</v>
      </c>
    </row>
    <row r="2529" spans="1:4" ht="19.5" customHeight="1">
      <c r="A2529" s="7"/>
      <c r="B2529" s="24" t="s">
        <v>2722</v>
      </c>
      <c r="C2529" s="30" t="s">
        <v>2608</v>
      </c>
      <c r="D2529" s="14" t="s">
        <v>2184</v>
      </c>
    </row>
    <row r="2530" spans="1:4" ht="19.5" customHeight="1">
      <c r="A2530" s="7"/>
      <c r="B2530" s="24" t="s">
        <v>420</v>
      </c>
      <c r="C2530" s="30" t="s">
        <v>2609</v>
      </c>
      <c r="D2530" s="14" t="s">
        <v>422</v>
      </c>
    </row>
    <row r="2531" spans="1:4" ht="19.5" customHeight="1">
      <c r="A2531" s="7"/>
      <c r="B2531" s="24" t="s">
        <v>2732</v>
      </c>
      <c r="C2531" s="30" t="s">
        <v>2608</v>
      </c>
      <c r="D2531" s="14" t="s">
        <v>1878</v>
      </c>
    </row>
    <row r="2532" spans="1:4" ht="19.5" customHeight="1">
      <c r="A2532" s="7"/>
      <c r="B2532" s="24" t="s">
        <v>2733</v>
      </c>
      <c r="C2532" s="30" t="s">
        <v>2608</v>
      </c>
      <c r="D2532" s="14" t="s">
        <v>2000</v>
      </c>
    </row>
    <row r="2533" spans="1:4" ht="19.5" customHeight="1">
      <c r="A2533" s="7"/>
      <c r="B2533" s="24" t="s">
        <v>2725</v>
      </c>
      <c r="C2533" s="30" t="s">
        <v>2608</v>
      </c>
      <c r="D2533" s="14" t="s">
        <v>2726</v>
      </c>
    </row>
    <row r="2534" spans="1:4" ht="19.5" customHeight="1">
      <c r="A2534" s="7"/>
      <c r="B2534" s="24" t="s">
        <v>2658</v>
      </c>
      <c r="C2534" s="30" t="s">
        <v>2608</v>
      </c>
      <c r="D2534" s="14" t="s">
        <v>2038</v>
      </c>
    </row>
    <row r="2535" spans="1:4" ht="19.5" customHeight="1">
      <c r="A2535" s="7"/>
      <c r="B2535" s="24" t="s">
        <v>2735</v>
      </c>
      <c r="C2535" s="30" t="s">
        <v>2608</v>
      </c>
      <c r="D2535" s="14" t="s">
        <v>2083</v>
      </c>
    </row>
    <row r="2536" spans="1:4" ht="19.5" customHeight="1">
      <c r="A2536" s="7"/>
      <c r="B2536" s="24" t="s">
        <v>2727</v>
      </c>
      <c r="C2536" s="30" t="s">
        <v>2608</v>
      </c>
      <c r="D2536" s="14" t="s">
        <v>1894</v>
      </c>
    </row>
    <row r="2537" spans="1:4" ht="19.5" customHeight="1">
      <c r="A2537" s="7"/>
      <c r="B2537" s="24" t="s">
        <v>2728</v>
      </c>
      <c r="C2537" s="30" t="s">
        <v>2609</v>
      </c>
      <c r="D2537" s="14" t="s">
        <v>424</v>
      </c>
    </row>
    <row r="2538" spans="1:4" ht="15.75" customHeight="1">
      <c r="A2538" s="7"/>
      <c r="B2538" s="24" t="s">
        <v>2617</v>
      </c>
      <c r="C2538" s="36">
        <v>1</v>
      </c>
      <c r="D2538" s="14" t="s">
        <v>2293</v>
      </c>
    </row>
    <row r="2539" spans="1:4" ht="15.75" customHeight="1">
      <c r="A2539" s="7"/>
      <c r="B2539" s="24" t="s">
        <v>2618</v>
      </c>
      <c r="C2539" s="36">
        <v>1</v>
      </c>
      <c r="D2539" s="14" t="s">
        <v>2317</v>
      </c>
    </row>
    <row r="2540" spans="1:4" ht="16.5" customHeight="1">
      <c r="A2540" s="7"/>
      <c r="B2540" s="24" t="s">
        <v>2619</v>
      </c>
      <c r="C2540" s="36">
        <v>4</v>
      </c>
      <c r="D2540" s="14" t="s">
        <v>2565</v>
      </c>
    </row>
    <row r="2541" spans="1:4" ht="15" customHeight="1">
      <c r="A2541" s="7"/>
      <c r="B2541" s="24" t="s">
        <v>2620</v>
      </c>
      <c r="C2541" s="36">
        <v>2</v>
      </c>
      <c r="D2541" s="14" t="s">
        <v>547</v>
      </c>
    </row>
    <row r="2542" spans="1:4" ht="19.5" customHeight="1">
      <c r="A2542" s="7"/>
      <c r="B2542" s="24" t="s">
        <v>2621</v>
      </c>
      <c r="C2542" s="36">
        <v>4</v>
      </c>
      <c r="D2542" s="14" t="s">
        <v>1107</v>
      </c>
    </row>
    <row r="2543" spans="1:4" ht="16.5" customHeight="1">
      <c r="A2543" s="7"/>
      <c r="B2543" s="24" t="s">
        <v>2622</v>
      </c>
      <c r="C2543" s="36" t="s">
        <v>2656</v>
      </c>
      <c r="D2543" s="14" t="s">
        <v>651</v>
      </c>
    </row>
    <row r="2544" spans="1:4" ht="17.25" customHeight="1">
      <c r="A2544" s="7"/>
      <c r="B2544" s="24" t="s">
        <v>2568</v>
      </c>
      <c r="C2544" s="30" t="s">
        <v>2623</v>
      </c>
      <c r="D2544" s="14" t="s">
        <v>2569</v>
      </c>
    </row>
    <row r="2545" spans="1:4" ht="19.5" customHeight="1">
      <c r="A2545" s="7"/>
      <c r="B2545" s="24" t="s">
        <v>2624</v>
      </c>
      <c r="C2545" s="36">
        <v>2</v>
      </c>
      <c r="D2545" s="14" t="s">
        <v>1179</v>
      </c>
    </row>
    <row r="2546" spans="1:4" ht="19.5" customHeight="1">
      <c r="A2546" s="7"/>
      <c r="B2546" s="24" t="s">
        <v>2625</v>
      </c>
      <c r="C2546" s="36">
        <v>2</v>
      </c>
      <c r="D2546" s="14" t="s">
        <v>2571</v>
      </c>
    </row>
    <row r="2547" spans="1:4" ht="19.5" customHeight="1">
      <c r="A2547" s="7"/>
      <c r="B2547" s="31" t="s">
        <v>2626</v>
      </c>
      <c r="C2547" s="32" t="s">
        <v>2623</v>
      </c>
      <c r="D2547" s="14" t="s">
        <v>1181</v>
      </c>
    </row>
    <row r="2548" spans="1:4" ht="15" customHeight="1">
      <c r="A2548" s="7" t="s">
        <v>1551</v>
      </c>
      <c r="B2548" s="24" t="s">
        <v>2721</v>
      </c>
      <c r="C2548" s="30" t="s">
        <v>2608</v>
      </c>
      <c r="D2548" s="14" t="s">
        <v>1874</v>
      </c>
    </row>
    <row r="2549" spans="1:4" ht="14.25" customHeight="1">
      <c r="A2549" s="7"/>
      <c r="B2549" s="24" t="s">
        <v>420</v>
      </c>
      <c r="C2549" s="30" t="s">
        <v>2609</v>
      </c>
      <c r="D2549" s="14" t="s">
        <v>422</v>
      </c>
    </row>
    <row r="2550" spans="1:4" ht="15" customHeight="1">
      <c r="A2550" s="7"/>
      <c r="B2550" s="24" t="s">
        <v>2722</v>
      </c>
      <c r="C2550" s="30" t="s">
        <v>2608</v>
      </c>
      <c r="D2550" s="14" t="s">
        <v>2184</v>
      </c>
    </row>
    <row r="2551" spans="1:4" ht="15" customHeight="1">
      <c r="A2551" s="7"/>
      <c r="B2551" s="24" t="s">
        <v>420</v>
      </c>
      <c r="C2551" s="30" t="s">
        <v>2609</v>
      </c>
      <c r="D2551" s="14" t="s">
        <v>422</v>
      </c>
    </row>
    <row r="2552" spans="1:4" ht="15" customHeight="1">
      <c r="A2552" s="7"/>
      <c r="B2552" s="24" t="s">
        <v>2732</v>
      </c>
      <c r="C2552" s="30" t="s">
        <v>2608</v>
      </c>
      <c r="D2552" s="14" t="s">
        <v>1878</v>
      </c>
    </row>
    <row r="2553" spans="1:4" ht="15" customHeight="1">
      <c r="A2553" s="7"/>
      <c r="B2553" s="24" t="s">
        <v>2733</v>
      </c>
      <c r="C2553" s="30" t="s">
        <v>2608</v>
      </c>
      <c r="D2553" s="14" t="s">
        <v>2000</v>
      </c>
    </row>
    <row r="2554" spans="1:4" ht="15" customHeight="1">
      <c r="A2554" s="7"/>
      <c r="B2554" s="24" t="s">
        <v>2664</v>
      </c>
      <c r="C2554" s="30" t="s">
        <v>2608</v>
      </c>
      <c r="D2554" s="14" t="s">
        <v>2579</v>
      </c>
    </row>
    <row r="2555" spans="1:4" ht="15" customHeight="1">
      <c r="A2555" s="7"/>
      <c r="B2555" s="24" t="s">
        <v>2665</v>
      </c>
      <c r="C2555" s="30" t="s">
        <v>2608</v>
      </c>
      <c r="D2555" s="14" t="s">
        <v>2583</v>
      </c>
    </row>
    <row r="2556" spans="1:4" ht="15" customHeight="1">
      <c r="A2556" s="7"/>
      <c r="B2556" s="24" t="s">
        <v>2725</v>
      </c>
      <c r="C2556" s="30" t="s">
        <v>2608</v>
      </c>
      <c r="D2556" s="14" t="s">
        <v>2726</v>
      </c>
    </row>
    <row r="2557" spans="1:4" ht="15" customHeight="1">
      <c r="A2557" s="7"/>
      <c r="B2557" s="24" t="s">
        <v>2727</v>
      </c>
      <c r="C2557" s="30" t="s">
        <v>2608</v>
      </c>
      <c r="D2557" s="14" t="s">
        <v>1894</v>
      </c>
    </row>
    <row r="2558" spans="1:4" ht="15" customHeight="1">
      <c r="A2558" s="7"/>
      <c r="B2558" s="24" t="s">
        <v>2728</v>
      </c>
      <c r="C2558" s="30" t="s">
        <v>2609</v>
      </c>
      <c r="D2558" s="14" t="s">
        <v>424</v>
      </c>
    </row>
    <row r="2559" spans="1:4" ht="15" customHeight="1">
      <c r="A2559" s="7"/>
      <c r="B2559" s="24" t="s">
        <v>2617</v>
      </c>
      <c r="C2559" s="36">
        <v>1</v>
      </c>
      <c r="D2559" s="14" t="s">
        <v>2293</v>
      </c>
    </row>
    <row r="2560" spans="1:4" ht="15" customHeight="1">
      <c r="A2560" s="7"/>
      <c r="B2560" s="24" t="s">
        <v>2618</v>
      </c>
      <c r="C2560" s="36">
        <v>2</v>
      </c>
      <c r="D2560" s="14" t="s">
        <v>2317</v>
      </c>
    </row>
    <row r="2561" spans="1:4" ht="15" customHeight="1">
      <c r="A2561" s="7"/>
      <c r="B2561" s="24" t="s">
        <v>2619</v>
      </c>
      <c r="C2561" s="36">
        <v>4</v>
      </c>
      <c r="D2561" s="14" t="s">
        <v>2565</v>
      </c>
    </row>
    <row r="2562" spans="1:4" ht="15" customHeight="1">
      <c r="A2562" s="7"/>
      <c r="B2562" s="24" t="s">
        <v>2620</v>
      </c>
      <c r="C2562" s="36">
        <v>3</v>
      </c>
      <c r="D2562" s="14" t="s">
        <v>547</v>
      </c>
    </row>
    <row r="2563" spans="1:4" ht="19.5" customHeight="1">
      <c r="A2563" s="7"/>
      <c r="B2563" s="24" t="s">
        <v>2621</v>
      </c>
      <c r="C2563" s="36">
        <v>6</v>
      </c>
      <c r="D2563" s="14" t="s">
        <v>1107</v>
      </c>
    </row>
    <row r="2564" spans="1:4" ht="15" customHeight="1">
      <c r="A2564" s="7"/>
      <c r="B2564" s="24" t="s">
        <v>2622</v>
      </c>
      <c r="C2564" s="36">
        <v>2</v>
      </c>
      <c r="D2564" s="14" t="s">
        <v>651</v>
      </c>
    </row>
    <row r="2565" spans="1:4" ht="15" customHeight="1">
      <c r="A2565" s="7"/>
      <c r="B2565" s="24" t="s">
        <v>2568</v>
      </c>
      <c r="C2565" s="30" t="s">
        <v>2623</v>
      </c>
      <c r="D2565" s="14" t="s">
        <v>2569</v>
      </c>
    </row>
    <row r="2566" spans="1:4" ht="15" customHeight="1">
      <c r="A2566" s="7"/>
      <c r="B2566" s="24" t="s">
        <v>2624</v>
      </c>
      <c r="C2566" s="36">
        <v>4</v>
      </c>
      <c r="D2566" s="14" t="s">
        <v>1179</v>
      </c>
    </row>
    <row r="2567" spans="1:4" ht="15" customHeight="1">
      <c r="A2567" s="7"/>
      <c r="B2567" s="24" t="s">
        <v>2625</v>
      </c>
      <c r="C2567" s="36">
        <v>4</v>
      </c>
      <c r="D2567" s="14" t="s">
        <v>2571</v>
      </c>
    </row>
    <row r="2568" spans="1:4" ht="15" customHeight="1">
      <c r="A2568" s="7"/>
      <c r="B2568" s="31" t="s">
        <v>2626</v>
      </c>
      <c r="C2568" s="32" t="s">
        <v>2623</v>
      </c>
      <c r="D2568" s="14" t="s">
        <v>1181</v>
      </c>
    </row>
    <row r="2569" spans="1:4" ht="15" customHeight="1">
      <c r="A2569" s="35"/>
      <c r="B2569" s="24"/>
      <c r="C2569" s="36"/>
      <c r="D2569" s="14"/>
    </row>
    <row r="2570" spans="1:4" ht="15" customHeight="1">
      <c r="A2570" s="35"/>
      <c r="B2570" s="24"/>
      <c r="C2570" s="36"/>
      <c r="D2570" s="14"/>
    </row>
    <row r="2571" spans="1:4" ht="15" customHeight="1">
      <c r="A2571" s="35"/>
      <c r="B2571" s="24"/>
      <c r="C2571" s="36"/>
      <c r="D2571" s="14"/>
    </row>
    <row r="2572" spans="1:4" ht="15" customHeight="1">
      <c r="A2572" s="35"/>
      <c r="B2572" s="24"/>
      <c r="C2572" s="36"/>
      <c r="D2572" s="14"/>
    </row>
    <row r="2573" spans="1:4" ht="15" customHeight="1">
      <c r="A2573" s="7" t="s">
        <v>1553</v>
      </c>
      <c r="B2573" s="24" t="s">
        <v>2729</v>
      </c>
      <c r="C2573" s="30" t="s">
        <v>2608</v>
      </c>
      <c r="D2573" s="14" t="s">
        <v>1870</v>
      </c>
    </row>
    <row r="2574" spans="1:4" ht="15" customHeight="1">
      <c r="A2574" s="7"/>
      <c r="B2574" s="24" t="s">
        <v>420</v>
      </c>
      <c r="C2574" s="30" t="s">
        <v>2609</v>
      </c>
      <c r="D2574" s="14" t="s">
        <v>422</v>
      </c>
    </row>
    <row r="2575" spans="1:4" ht="15" customHeight="1">
      <c r="A2575" s="7"/>
      <c r="B2575" s="24" t="s">
        <v>2722</v>
      </c>
      <c r="C2575" s="30" t="s">
        <v>2608</v>
      </c>
      <c r="D2575" s="14" t="s">
        <v>2184</v>
      </c>
    </row>
    <row r="2576" spans="1:4" ht="15" customHeight="1">
      <c r="A2576" s="7"/>
      <c r="B2576" s="24" t="s">
        <v>420</v>
      </c>
      <c r="C2576" s="30" t="s">
        <v>2609</v>
      </c>
      <c r="D2576" s="14" t="s">
        <v>422</v>
      </c>
    </row>
    <row r="2577" spans="1:4" ht="15" customHeight="1">
      <c r="A2577" s="7"/>
      <c r="B2577" s="24" t="s">
        <v>2723</v>
      </c>
      <c r="C2577" s="30" t="s">
        <v>2608</v>
      </c>
      <c r="D2577" s="14" t="s">
        <v>1878</v>
      </c>
    </row>
    <row r="2578" spans="1:4" ht="15" customHeight="1">
      <c r="A2578" s="7"/>
      <c r="B2578" s="24" t="s">
        <v>2724</v>
      </c>
      <c r="C2578" s="30" t="s">
        <v>2608</v>
      </c>
      <c r="D2578" s="14" t="s">
        <v>2000</v>
      </c>
    </row>
    <row r="2579" spans="1:4" ht="15" customHeight="1">
      <c r="A2579" s="7"/>
      <c r="B2579" s="24" t="s">
        <v>2664</v>
      </c>
      <c r="C2579" s="30" t="s">
        <v>2608</v>
      </c>
      <c r="D2579" s="14" t="s">
        <v>2579</v>
      </c>
    </row>
    <row r="2580" spans="1:4" ht="15" customHeight="1">
      <c r="A2580" s="7"/>
      <c r="B2580" s="24" t="s">
        <v>2665</v>
      </c>
      <c r="C2580" s="30" t="s">
        <v>2608</v>
      </c>
      <c r="D2580" s="14" t="s">
        <v>2583</v>
      </c>
    </row>
    <row r="2581" spans="1:4" ht="15" customHeight="1">
      <c r="A2581" s="7"/>
      <c r="B2581" s="24" t="s">
        <v>2725</v>
      </c>
      <c r="C2581" s="30" t="s">
        <v>2608</v>
      </c>
      <c r="D2581" s="14" t="s">
        <v>2726</v>
      </c>
    </row>
    <row r="2582" spans="1:4" ht="15" customHeight="1">
      <c r="A2582" s="7"/>
      <c r="B2582" s="24" t="s">
        <v>2727</v>
      </c>
      <c r="C2582" s="30" t="s">
        <v>2608</v>
      </c>
      <c r="D2582" s="14" t="s">
        <v>1894</v>
      </c>
    </row>
    <row r="2583" spans="1:4" ht="15" customHeight="1">
      <c r="A2583" s="7"/>
      <c r="B2583" s="24" t="s">
        <v>2728</v>
      </c>
      <c r="C2583" s="30" t="s">
        <v>2609</v>
      </c>
      <c r="D2583" s="14" t="s">
        <v>424</v>
      </c>
    </row>
    <row r="2584" spans="1:4" ht="15" customHeight="1">
      <c r="A2584" s="7"/>
      <c r="B2584" s="24" t="s">
        <v>2617</v>
      </c>
      <c r="C2584" s="36">
        <v>1</v>
      </c>
      <c r="D2584" s="14" t="s">
        <v>2293</v>
      </c>
    </row>
    <row r="2585" spans="1:4" ht="15" customHeight="1">
      <c r="A2585" s="7"/>
      <c r="B2585" s="24" t="s">
        <v>2618</v>
      </c>
      <c r="C2585" s="36">
        <v>2</v>
      </c>
      <c r="D2585" s="14" t="s">
        <v>2317</v>
      </c>
    </row>
    <row r="2586" spans="1:4" ht="15" customHeight="1">
      <c r="A2586" s="7"/>
      <c r="B2586" s="24" t="s">
        <v>2619</v>
      </c>
      <c r="C2586" s="36">
        <v>4</v>
      </c>
      <c r="D2586" s="14" t="s">
        <v>2565</v>
      </c>
    </row>
    <row r="2587" spans="1:4" ht="15" customHeight="1">
      <c r="A2587" s="7"/>
      <c r="B2587" s="24" t="s">
        <v>2620</v>
      </c>
      <c r="C2587" s="36">
        <v>3</v>
      </c>
      <c r="D2587" s="14" t="s">
        <v>547</v>
      </c>
    </row>
    <row r="2588" spans="1:4" ht="15" customHeight="1">
      <c r="A2588" s="7"/>
      <c r="B2588" s="24" t="s">
        <v>2621</v>
      </c>
      <c r="C2588" s="36">
        <v>6</v>
      </c>
      <c r="D2588" s="14" t="s">
        <v>1107</v>
      </c>
    </row>
    <row r="2589" spans="1:4" ht="15" customHeight="1">
      <c r="A2589" s="7"/>
      <c r="B2589" s="24" t="s">
        <v>2622</v>
      </c>
      <c r="C2589" s="36">
        <v>2</v>
      </c>
      <c r="D2589" s="14" t="s">
        <v>651</v>
      </c>
    </row>
    <row r="2590" spans="1:4" ht="15" customHeight="1">
      <c r="A2590" s="7"/>
      <c r="B2590" s="24" t="s">
        <v>2568</v>
      </c>
      <c r="C2590" s="30" t="s">
        <v>2623</v>
      </c>
      <c r="D2590" s="14" t="s">
        <v>2569</v>
      </c>
    </row>
    <row r="2591" spans="1:4" ht="16.5" customHeight="1">
      <c r="A2591" s="7"/>
      <c r="B2591" s="24" t="s">
        <v>2624</v>
      </c>
      <c r="C2591" s="36">
        <v>4</v>
      </c>
      <c r="D2591" s="14" t="s">
        <v>1179</v>
      </c>
    </row>
    <row r="2592" spans="1:4" ht="16.5" customHeight="1">
      <c r="A2592" s="7"/>
      <c r="B2592" s="24" t="s">
        <v>2625</v>
      </c>
      <c r="C2592" s="36">
        <v>4</v>
      </c>
      <c r="D2592" s="14" t="s">
        <v>2571</v>
      </c>
    </row>
    <row r="2593" spans="1:4" ht="16.5" customHeight="1">
      <c r="A2593" s="7"/>
      <c r="B2593" s="31" t="s">
        <v>2626</v>
      </c>
      <c r="C2593" s="32" t="s">
        <v>2623</v>
      </c>
      <c r="D2593" s="14" t="s">
        <v>1181</v>
      </c>
    </row>
    <row r="2594" spans="1:4" ht="19.5" customHeight="1">
      <c r="A2594" s="7" t="s">
        <v>1555</v>
      </c>
      <c r="B2594" s="24" t="s">
        <v>2721</v>
      </c>
      <c r="C2594" s="30" t="s">
        <v>2608</v>
      </c>
      <c r="D2594" s="14" t="s">
        <v>1874</v>
      </c>
    </row>
    <row r="2595" spans="1:4" ht="19.5" customHeight="1">
      <c r="A2595" s="7"/>
      <c r="B2595" s="24" t="s">
        <v>420</v>
      </c>
      <c r="C2595" s="30" t="s">
        <v>2609</v>
      </c>
      <c r="D2595" s="14" t="s">
        <v>422</v>
      </c>
    </row>
    <row r="2596" spans="1:4" ht="19.5" customHeight="1">
      <c r="A2596" s="7"/>
      <c r="B2596" s="24" t="s">
        <v>2722</v>
      </c>
      <c r="C2596" s="30" t="s">
        <v>2608</v>
      </c>
      <c r="D2596" s="14" t="s">
        <v>2184</v>
      </c>
    </row>
    <row r="2597" spans="1:4" ht="19.5" customHeight="1">
      <c r="A2597" s="7"/>
      <c r="B2597" s="24" t="s">
        <v>420</v>
      </c>
      <c r="C2597" s="30" t="s">
        <v>2609</v>
      </c>
      <c r="D2597" s="14" t="s">
        <v>422</v>
      </c>
    </row>
    <row r="2598" spans="1:4" ht="19.5" customHeight="1">
      <c r="A2598" s="7"/>
      <c r="B2598" s="24" t="s">
        <v>2723</v>
      </c>
      <c r="C2598" s="30" t="s">
        <v>2608</v>
      </c>
      <c r="D2598" s="14" t="s">
        <v>1878</v>
      </c>
    </row>
    <row r="2599" spans="1:4" ht="19.5" customHeight="1">
      <c r="A2599" s="7"/>
      <c r="B2599" s="24" t="s">
        <v>2724</v>
      </c>
      <c r="C2599" s="30" t="s">
        <v>2608</v>
      </c>
      <c r="D2599" s="14" t="s">
        <v>2000</v>
      </c>
    </row>
    <row r="2600" spans="1:4" ht="19.5" customHeight="1">
      <c r="A2600" s="7"/>
      <c r="B2600" s="24" t="s">
        <v>2725</v>
      </c>
      <c r="C2600" s="30" t="s">
        <v>2608</v>
      </c>
      <c r="D2600" s="14" t="s">
        <v>2726</v>
      </c>
    </row>
    <row r="2601" spans="1:4" ht="19.5" customHeight="1">
      <c r="A2601" s="7"/>
      <c r="B2601" s="24" t="s">
        <v>2637</v>
      </c>
      <c r="C2601" s="30" t="s">
        <v>2608</v>
      </c>
      <c r="D2601" s="14" t="s">
        <v>2180</v>
      </c>
    </row>
    <row r="2602" spans="1:4" ht="19.5" customHeight="1">
      <c r="A2602" s="7"/>
      <c r="B2602" s="24" t="s">
        <v>420</v>
      </c>
      <c r="C2602" s="30" t="s">
        <v>2608</v>
      </c>
      <c r="D2602" s="14" t="s">
        <v>422</v>
      </c>
    </row>
    <row r="2603" spans="1:4" ht="19.5" customHeight="1">
      <c r="A2603" s="7"/>
      <c r="B2603" s="24" t="s">
        <v>2638</v>
      </c>
      <c r="C2603" s="30" t="s">
        <v>2608</v>
      </c>
      <c r="D2603" s="14" t="s">
        <v>1898</v>
      </c>
    </row>
    <row r="2604" spans="1:4" ht="19.5" customHeight="1">
      <c r="A2604" s="7"/>
      <c r="B2604" s="24" t="s">
        <v>2727</v>
      </c>
      <c r="C2604" s="30" t="s">
        <v>2608</v>
      </c>
      <c r="D2604" s="14" t="s">
        <v>1894</v>
      </c>
    </row>
    <row r="2605" spans="1:4" ht="15" customHeight="1">
      <c r="A2605" s="7"/>
      <c r="B2605" s="24" t="s">
        <v>2728</v>
      </c>
      <c r="C2605" s="30" t="s">
        <v>2609</v>
      </c>
      <c r="D2605" s="14" t="s">
        <v>424</v>
      </c>
    </row>
    <row r="2606" spans="1:4" ht="15" customHeight="1">
      <c r="A2606" s="7"/>
      <c r="B2606" s="24" t="s">
        <v>2617</v>
      </c>
      <c r="C2606" s="36">
        <v>1</v>
      </c>
      <c r="D2606" s="14" t="s">
        <v>2293</v>
      </c>
    </row>
    <row r="2607" spans="1:4" ht="15" customHeight="1">
      <c r="A2607" s="7"/>
      <c r="B2607" s="24" t="s">
        <v>2618</v>
      </c>
      <c r="C2607" s="36">
        <v>1</v>
      </c>
      <c r="D2607" s="14" t="s">
        <v>2317</v>
      </c>
    </row>
    <row r="2608" spans="1:4" ht="15" customHeight="1">
      <c r="A2608" s="7"/>
      <c r="B2608" s="24" t="s">
        <v>2619</v>
      </c>
      <c r="C2608" s="36">
        <v>2</v>
      </c>
      <c r="D2608" s="14" t="s">
        <v>2565</v>
      </c>
    </row>
    <row r="2609" spans="1:4" ht="15" customHeight="1">
      <c r="A2609" s="7"/>
      <c r="B2609" s="24" t="s">
        <v>2640</v>
      </c>
      <c r="C2609" s="36">
        <v>2</v>
      </c>
      <c r="D2609" s="14" t="s">
        <v>1113</v>
      </c>
    </row>
    <row r="2610" spans="1:4" ht="19.5" customHeight="1">
      <c r="A2610" s="7"/>
      <c r="B2610" s="24" t="s">
        <v>2736</v>
      </c>
      <c r="C2610" s="36">
        <v>1</v>
      </c>
      <c r="D2610" s="14" t="s">
        <v>2591</v>
      </c>
    </row>
    <row r="2611" spans="1:4" ht="19.5" customHeight="1">
      <c r="A2611" s="7"/>
      <c r="B2611" s="24" t="s">
        <v>2620</v>
      </c>
      <c r="C2611" s="36">
        <v>2</v>
      </c>
      <c r="D2611" s="14" t="s">
        <v>547</v>
      </c>
    </row>
    <row r="2612" spans="1:4" ht="19.5" customHeight="1">
      <c r="A2612" s="7"/>
      <c r="B2612" s="24" t="s">
        <v>2621</v>
      </c>
      <c r="C2612" s="36">
        <v>4</v>
      </c>
      <c r="D2612" s="14" t="s">
        <v>1107</v>
      </c>
    </row>
    <row r="2613" spans="1:4" ht="19.5" customHeight="1">
      <c r="A2613" s="7"/>
      <c r="B2613" s="24" t="s">
        <v>2642</v>
      </c>
      <c r="C2613" s="36">
        <v>1</v>
      </c>
      <c r="D2613" s="14" t="s">
        <v>653</v>
      </c>
    </row>
    <row r="2614" spans="1:4" ht="19.5" customHeight="1">
      <c r="A2614" s="7"/>
      <c r="B2614" s="24" t="s">
        <v>2568</v>
      </c>
      <c r="C2614" s="30" t="s">
        <v>2623</v>
      </c>
      <c r="D2614" s="14" t="s">
        <v>2569</v>
      </c>
    </row>
    <row r="2615" spans="1:4" ht="19.5" customHeight="1">
      <c r="A2615" s="7"/>
      <c r="B2615" s="24" t="s">
        <v>2624</v>
      </c>
      <c r="C2615" s="36">
        <v>2</v>
      </c>
      <c r="D2615" s="14" t="s">
        <v>1179</v>
      </c>
    </row>
    <row r="2616" spans="1:4" ht="19.5" customHeight="1">
      <c r="A2616" s="7"/>
      <c r="B2616" s="24" t="s">
        <v>2625</v>
      </c>
      <c r="C2616" s="36">
        <v>2</v>
      </c>
      <c r="D2616" s="14" t="s">
        <v>2571</v>
      </c>
    </row>
    <row r="2617" spans="1:4" ht="19.5" customHeight="1">
      <c r="A2617" s="7"/>
      <c r="B2617" s="31" t="s">
        <v>2626</v>
      </c>
      <c r="C2617" s="32" t="s">
        <v>2623</v>
      </c>
      <c r="D2617" s="14" t="s">
        <v>1181</v>
      </c>
    </row>
    <row r="2618" spans="1:4" ht="19.5" customHeight="1">
      <c r="A2618" s="7" t="s">
        <v>1557</v>
      </c>
      <c r="B2618" s="24" t="s">
        <v>2729</v>
      </c>
      <c r="C2618" s="30" t="s">
        <v>2608</v>
      </c>
      <c r="D2618" s="14" t="s">
        <v>1870</v>
      </c>
    </row>
    <row r="2619" spans="1:4" ht="19.5" customHeight="1">
      <c r="A2619" s="7"/>
      <c r="B2619" s="24" t="s">
        <v>420</v>
      </c>
      <c r="C2619" s="30" t="s">
        <v>2609</v>
      </c>
      <c r="D2619" s="14" t="s">
        <v>422</v>
      </c>
    </row>
    <row r="2620" spans="1:4" ht="19.5" customHeight="1">
      <c r="A2620" s="7"/>
      <c r="B2620" s="24" t="s">
        <v>2722</v>
      </c>
      <c r="C2620" s="30" t="s">
        <v>2608</v>
      </c>
      <c r="D2620" s="14" t="s">
        <v>2184</v>
      </c>
    </row>
    <row r="2621" spans="1:4" ht="19.5" customHeight="1">
      <c r="A2621" s="7"/>
      <c r="B2621" s="24" t="s">
        <v>420</v>
      </c>
      <c r="C2621" s="30" t="s">
        <v>2609</v>
      </c>
      <c r="D2621" s="14" t="s">
        <v>422</v>
      </c>
    </row>
    <row r="2622" spans="1:4" ht="19.5" customHeight="1">
      <c r="A2622" s="7"/>
      <c r="B2622" s="24" t="s">
        <v>2723</v>
      </c>
      <c r="C2622" s="30" t="s">
        <v>2608</v>
      </c>
      <c r="D2622" s="14" t="s">
        <v>1878</v>
      </c>
    </row>
    <row r="2623" spans="1:4" ht="19.5" customHeight="1">
      <c r="A2623" s="7"/>
      <c r="B2623" s="24" t="s">
        <v>2724</v>
      </c>
      <c r="C2623" s="30" t="s">
        <v>2608</v>
      </c>
      <c r="D2623" s="14" t="s">
        <v>2000</v>
      </c>
    </row>
    <row r="2624" spans="1:4" ht="19.5" customHeight="1">
      <c r="A2624" s="7"/>
      <c r="B2624" s="24" t="s">
        <v>2637</v>
      </c>
      <c r="C2624" s="30" t="s">
        <v>2608</v>
      </c>
      <c r="D2624" s="14" t="s">
        <v>2180</v>
      </c>
    </row>
    <row r="2625" spans="1:4" ht="19.5" customHeight="1">
      <c r="A2625" s="7"/>
      <c r="B2625" s="24" t="s">
        <v>420</v>
      </c>
      <c r="C2625" s="30" t="s">
        <v>2608</v>
      </c>
      <c r="D2625" s="14" t="s">
        <v>422</v>
      </c>
    </row>
    <row r="2626" spans="1:4" ht="19.5" customHeight="1">
      <c r="A2626" s="7"/>
      <c r="B2626" s="24" t="s">
        <v>2638</v>
      </c>
      <c r="C2626" s="30" t="s">
        <v>2608</v>
      </c>
      <c r="D2626" s="14" t="s">
        <v>1898</v>
      </c>
    </row>
    <row r="2627" spans="1:4" ht="19.5" customHeight="1">
      <c r="A2627" s="7"/>
      <c r="B2627" s="24" t="s">
        <v>2725</v>
      </c>
      <c r="C2627" s="30" t="s">
        <v>2608</v>
      </c>
      <c r="D2627" s="14" t="s">
        <v>2726</v>
      </c>
    </row>
    <row r="2628" spans="1:4" ht="15.75" customHeight="1">
      <c r="A2628" s="7"/>
      <c r="B2628" s="24" t="s">
        <v>2727</v>
      </c>
      <c r="C2628" s="30" t="s">
        <v>2608</v>
      </c>
      <c r="D2628" s="14" t="s">
        <v>1894</v>
      </c>
    </row>
    <row r="2629" spans="1:4" ht="19.5" customHeight="1">
      <c r="A2629" s="7"/>
      <c r="B2629" s="24" t="s">
        <v>2728</v>
      </c>
      <c r="C2629" s="30" t="s">
        <v>2609</v>
      </c>
      <c r="D2629" s="14" t="s">
        <v>424</v>
      </c>
    </row>
    <row r="2630" spans="1:4" ht="15" customHeight="1">
      <c r="A2630" s="7"/>
      <c r="B2630" s="24" t="s">
        <v>2617</v>
      </c>
      <c r="C2630" s="36">
        <v>1</v>
      </c>
      <c r="D2630" s="14" t="s">
        <v>2293</v>
      </c>
    </row>
    <row r="2631" spans="1:4" ht="15" customHeight="1">
      <c r="A2631" s="7"/>
      <c r="B2631" s="24" t="s">
        <v>2618</v>
      </c>
      <c r="C2631" s="36">
        <v>1</v>
      </c>
      <c r="D2631" s="14" t="s">
        <v>2317</v>
      </c>
    </row>
    <row r="2632" spans="1:4" ht="15" customHeight="1">
      <c r="A2632" s="7"/>
      <c r="B2632" s="24" t="s">
        <v>2619</v>
      </c>
      <c r="C2632" s="36">
        <v>2</v>
      </c>
      <c r="D2632" s="14" t="s">
        <v>2565</v>
      </c>
    </row>
    <row r="2633" spans="1:4" ht="15" customHeight="1">
      <c r="A2633" s="7"/>
      <c r="B2633" s="24" t="s">
        <v>2736</v>
      </c>
      <c r="C2633" s="36">
        <v>1</v>
      </c>
      <c r="D2633" s="14" t="s">
        <v>2591</v>
      </c>
    </row>
    <row r="2634" spans="1:4" ht="21" customHeight="1">
      <c r="A2634" s="7"/>
      <c r="B2634" s="24" t="s">
        <v>2640</v>
      </c>
      <c r="C2634" s="36">
        <v>2</v>
      </c>
      <c r="D2634" s="14" t="s">
        <v>1113</v>
      </c>
    </row>
    <row r="2635" spans="1:4" ht="19.5" customHeight="1">
      <c r="A2635" s="7"/>
      <c r="B2635" s="24" t="s">
        <v>2620</v>
      </c>
      <c r="C2635" s="36">
        <v>2</v>
      </c>
      <c r="D2635" s="14" t="s">
        <v>547</v>
      </c>
    </row>
    <row r="2636" spans="1:4" ht="19.5" customHeight="1">
      <c r="A2636" s="7"/>
      <c r="B2636" s="24" t="s">
        <v>2621</v>
      </c>
      <c r="C2636" s="36">
        <v>4</v>
      </c>
      <c r="D2636" s="14" t="s">
        <v>1107</v>
      </c>
    </row>
    <row r="2637" spans="1:4" ht="19.5" customHeight="1">
      <c r="A2637" s="7"/>
      <c r="B2637" s="24" t="s">
        <v>2642</v>
      </c>
      <c r="C2637" s="36">
        <v>1</v>
      </c>
      <c r="D2637" s="14" t="s">
        <v>653</v>
      </c>
    </row>
    <row r="2638" spans="1:4" ht="19.5" customHeight="1">
      <c r="A2638" s="7"/>
      <c r="B2638" s="24" t="s">
        <v>2568</v>
      </c>
      <c r="C2638" s="30" t="s">
        <v>2623</v>
      </c>
      <c r="D2638" s="14" t="s">
        <v>2569</v>
      </c>
    </row>
    <row r="2639" spans="1:4" ht="19.5" customHeight="1">
      <c r="A2639" s="7"/>
      <c r="B2639" s="24" t="s">
        <v>2624</v>
      </c>
      <c r="C2639" s="36">
        <v>2</v>
      </c>
      <c r="D2639" s="14" t="s">
        <v>1179</v>
      </c>
    </row>
    <row r="2640" spans="1:4" ht="19.5" customHeight="1">
      <c r="A2640" s="7"/>
      <c r="B2640" s="24" t="s">
        <v>2625</v>
      </c>
      <c r="C2640" s="36">
        <v>2</v>
      </c>
      <c r="D2640" s="14" t="s">
        <v>2571</v>
      </c>
    </row>
    <row r="2641" spans="1:4" ht="19.5" customHeight="1">
      <c r="A2641" s="7"/>
      <c r="B2641" s="31" t="s">
        <v>2626</v>
      </c>
      <c r="C2641" s="32" t="s">
        <v>2623</v>
      </c>
      <c r="D2641" s="14" t="s">
        <v>1181</v>
      </c>
    </row>
    <row r="2642" spans="1:4" ht="15" customHeight="1">
      <c r="A2642" s="10" t="s">
        <v>1559</v>
      </c>
      <c r="B2642" s="24" t="s">
        <v>2730</v>
      </c>
      <c r="C2642" s="30" t="s">
        <v>2608</v>
      </c>
      <c r="D2642" s="14" t="s">
        <v>1870</v>
      </c>
    </row>
    <row r="2643" spans="1:4" ht="15" customHeight="1">
      <c r="A2643" s="10"/>
      <c r="B2643" s="24" t="s">
        <v>420</v>
      </c>
      <c r="C2643" s="30" t="s">
        <v>2609</v>
      </c>
      <c r="D2643" s="14" t="s">
        <v>422</v>
      </c>
    </row>
    <row r="2644" spans="1:4" ht="15" customHeight="1">
      <c r="A2644" s="10"/>
      <c r="B2644" s="24" t="s">
        <v>2722</v>
      </c>
      <c r="C2644" s="30" t="s">
        <v>2608</v>
      </c>
      <c r="D2644" s="14" t="s">
        <v>2184</v>
      </c>
    </row>
    <row r="2645" spans="1:4" ht="15" customHeight="1">
      <c r="A2645" s="10"/>
      <c r="B2645" s="24" t="s">
        <v>420</v>
      </c>
      <c r="C2645" s="30" t="s">
        <v>2608</v>
      </c>
      <c r="D2645" s="14" t="s">
        <v>422</v>
      </c>
    </row>
    <row r="2646" spans="1:4" ht="15" customHeight="1">
      <c r="A2646" s="10"/>
      <c r="B2646" s="24" t="s">
        <v>2638</v>
      </c>
      <c r="C2646" s="30" t="s">
        <v>2608</v>
      </c>
      <c r="D2646" s="14" t="s">
        <v>1898</v>
      </c>
    </row>
    <row r="2647" spans="1:4" ht="15" customHeight="1">
      <c r="A2647" s="10"/>
      <c r="B2647" s="24" t="s">
        <v>420</v>
      </c>
      <c r="C2647" s="30" t="s">
        <v>2609</v>
      </c>
      <c r="D2647" s="14" t="s">
        <v>422</v>
      </c>
    </row>
    <row r="2648" spans="1:4" ht="15" customHeight="1">
      <c r="A2648" s="10"/>
      <c r="B2648" s="24" t="s">
        <v>2723</v>
      </c>
      <c r="C2648" s="30" t="s">
        <v>2608</v>
      </c>
      <c r="D2648" s="14" t="s">
        <v>1878</v>
      </c>
    </row>
    <row r="2649" spans="1:4" ht="15" customHeight="1">
      <c r="A2649" s="10"/>
      <c r="B2649" s="24" t="s">
        <v>2724</v>
      </c>
      <c r="C2649" s="30" t="s">
        <v>2608</v>
      </c>
      <c r="D2649" s="14" t="s">
        <v>2000</v>
      </c>
    </row>
    <row r="2650" spans="1:4" ht="15" customHeight="1">
      <c r="A2650" s="10"/>
      <c r="B2650" s="24" t="s">
        <v>2725</v>
      </c>
      <c r="C2650" s="30" t="s">
        <v>2608</v>
      </c>
      <c r="D2650" s="14" t="s">
        <v>2726</v>
      </c>
    </row>
    <row r="2651" spans="1:4" ht="15" customHeight="1">
      <c r="A2651" s="10"/>
      <c r="B2651" s="24" t="s">
        <v>2617</v>
      </c>
      <c r="C2651" s="36">
        <v>1</v>
      </c>
      <c r="D2651" s="14" t="s">
        <v>2293</v>
      </c>
    </row>
    <row r="2652" spans="1:4" ht="15" customHeight="1">
      <c r="A2652" s="10"/>
      <c r="B2652" s="24" t="s">
        <v>2618</v>
      </c>
      <c r="C2652" s="36">
        <v>1</v>
      </c>
      <c r="D2652" s="14" t="s">
        <v>2317</v>
      </c>
    </row>
    <row r="2653" spans="1:4" ht="15" customHeight="1">
      <c r="A2653" s="10"/>
      <c r="B2653" s="24" t="s">
        <v>2640</v>
      </c>
      <c r="C2653" s="36">
        <v>3</v>
      </c>
      <c r="D2653" s="14" t="s">
        <v>1113</v>
      </c>
    </row>
    <row r="2654" spans="1:4" ht="15" customHeight="1">
      <c r="A2654" s="10"/>
      <c r="B2654" s="24" t="s">
        <v>2619</v>
      </c>
      <c r="C2654" s="36">
        <v>4</v>
      </c>
      <c r="D2654" s="14" t="s">
        <v>2565</v>
      </c>
    </row>
    <row r="2655" spans="1:4" ht="15" customHeight="1">
      <c r="A2655" s="10"/>
      <c r="B2655" s="24" t="s">
        <v>2620</v>
      </c>
      <c r="C2655" s="36">
        <v>2</v>
      </c>
      <c r="D2655" s="14" t="s">
        <v>547</v>
      </c>
    </row>
    <row r="2656" spans="1:4" ht="15" customHeight="1">
      <c r="A2656" s="10"/>
      <c r="B2656" s="24" t="s">
        <v>2621</v>
      </c>
      <c r="C2656" s="36">
        <v>4</v>
      </c>
      <c r="D2656" s="14" t="s">
        <v>1107</v>
      </c>
    </row>
    <row r="2657" spans="1:4" ht="15" customHeight="1">
      <c r="A2657" s="10"/>
      <c r="B2657" s="24" t="s">
        <v>2642</v>
      </c>
      <c r="C2657" s="36" t="s">
        <v>2656</v>
      </c>
      <c r="D2657" s="14" t="s">
        <v>653</v>
      </c>
    </row>
    <row r="2658" spans="1:4" ht="15" customHeight="1">
      <c r="A2658" s="10"/>
      <c r="B2658" s="24" t="s">
        <v>2568</v>
      </c>
      <c r="C2658" s="30" t="s">
        <v>2623</v>
      </c>
      <c r="D2658" s="14" t="s">
        <v>2569</v>
      </c>
    </row>
    <row r="2659" spans="1:4" ht="15" customHeight="1">
      <c r="A2659" s="35"/>
      <c r="B2659" s="24"/>
      <c r="C2659" s="36"/>
      <c r="D2659" s="14"/>
    </row>
    <row r="2660" spans="1:4" ht="15" customHeight="1">
      <c r="A2660" s="35"/>
      <c r="B2660" s="24"/>
      <c r="C2660" s="36"/>
      <c r="D2660" s="14"/>
    </row>
    <row r="2661" spans="1:4" ht="15" customHeight="1">
      <c r="A2661" s="35"/>
      <c r="B2661" s="24"/>
      <c r="C2661" s="36"/>
      <c r="D2661" s="14"/>
    </row>
    <row r="2662" spans="1:4" ht="15" customHeight="1">
      <c r="A2662" s="35"/>
      <c r="B2662" s="24"/>
      <c r="C2662" s="36"/>
      <c r="D2662" s="14"/>
    </row>
    <row r="2663" spans="1:4" ht="15" customHeight="1">
      <c r="A2663" s="10" t="s">
        <v>1561</v>
      </c>
      <c r="B2663" s="24" t="s">
        <v>2731</v>
      </c>
      <c r="C2663" s="30" t="s">
        <v>2608</v>
      </c>
      <c r="D2663" s="14" t="s">
        <v>1902</v>
      </c>
    </row>
    <row r="2664" spans="1:4" ht="15" customHeight="1">
      <c r="A2664" s="10"/>
      <c r="B2664" s="24" t="s">
        <v>420</v>
      </c>
      <c r="C2664" s="30" t="s">
        <v>2609</v>
      </c>
      <c r="D2664" s="14" t="s">
        <v>422</v>
      </c>
    </row>
    <row r="2665" spans="1:4" ht="15" customHeight="1">
      <c r="A2665" s="10"/>
      <c r="B2665" s="24" t="s">
        <v>2722</v>
      </c>
      <c r="C2665" s="30" t="s">
        <v>2608</v>
      </c>
      <c r="D2665" s="14" t="s">
        <v>2184</v>
      </c>
    </row>
    <row r="2666" spans="1:4" ht="15" customHeight="1">
      <c r="A2666" s="10"/>
      <c r="B2666" s="24" t="s">
        <v>420</v>
      </c>
      <c r="C2666" s="30" t="s">
        <v>2608</v>
      </c>
      <c r="D2666" s="14" t="s">
        <v>422</v>
      </c>
    </row>
    <row r="2667" spans="1:4" ht="15" customHeight="1">
      <c r="A2667" s="10"/>
      <c r="B2667" s="24" t="s">
        <v>2638</v>
      </c>
      <c r="C2667" s="30" t="s">
        <v>2608</v>
      </c>
      <c r="D2667" s="14" t="s">
        <v>1898</v>
      </c>
    </row>
    <row r="2668" spans="1:4" ht="15" customHeight="1">
      <c r="A2668" s="10"/>
      <c r="B2668" s="24" t="s">
        <v>420</v>
      </c>
      <c r="C2668" s="30" t="s">
        <v>2609</v>
      </c>
      <c r="D2668" s="14" t="s">
        <v>422</v>
      </c>
    </row>
    <row r="2669" spans="1:4" ht="12.75" customHeight="1">
      <c r="A2669" s="10"/>
      <c r="B2669" s="24" t="s">
        <v>2732</v>
      </c>
      <c r="C2669" s="30" t="s">
        <v>2608</v>
      </c>
      <c r="D2669" s="14" t="s">
        <v>1878</v>
      </c>
    </row>
    <row r="2670" spans="1:4" ht="15" customHeight="1">
      <c r="A2670" s="10"/>
      <c r="B2670" s="24" t="s">
        <v>2733</v>
      </c>
      <c r="C2670" s="30" t="s">
        <v>2608</v>
      </c>
      <c r="D2670" s="14" t="s">
        <v>2000</v>
      </c>
    </row>
    <row r="2671" spans="1:4" ht="12.75" customHeight="1">
      <c r="A2671" s="10"/>
      <c r="B2671" s="24" t="s">
        <v>2658</v>
      </c>
      <c r="C2671" s="30" t="s">
        <v>2608</v>
      </c>
      <c r="D2671" s="14" t="s">
        <v>2038</v>
      </c>
    </row>
    <row r="2672" spans="1:4" ht="12" customHeight="1">
      <c r="A2672" s="10"/>
      <c r="B2672" s="24" t="s">
        <v>2725</v>
      </c>
      <c r="C2672" s="30" t="s">
        <v>2608</v>
      </c>
      <c r="D2672" s="14" t="s">
        <v>2726</v>
      </c>
    </row>
    <row r="2673" spans="1:4" ht="12.75" customHeight="1">
      <c r="A2673" s="10"/>
      <c r="B2673" s="24" t="s">
        <v>2617</v>
      </c>
      <c r="C2673" s="36">
        <v>1</v>
      </c>
      <c r="D2673" s="14" t="s">
        <v>2293</v>
      </c>
    </row>
    <row r="2674" spans="1:4" ht="12.75" customHeight="1">
      <c r="A2674" s="10"/>
      <c r="B2674" s="24" t="s">
        <v>2618</v>
      </c>
      <c r="C2674" s="36">
        <v>1</v>
      </c>
      <c r="D2674" s="14" t="s">
        <v>2317</v>
      </c>
    </row>
    <row r="2675" spans="1:4" ht="12.75" customHeight="1">
      <c r="A2675" s="10"/>
      <c r="B2675" s="24" t="s">
        <v>2619</v>
      </c>
      <c r="C2675" s="36">
        <v>4</v>
      </c>
      <c r="D2675" s="14" t="s">
        <v>2565</v>
      </c>
    </row>
    <row r="2676" spans="1:4" ht="12.75" customHeight="1">
      <c r="A2676" s="10"/>
      <c r="B2676" s="24" t="s">
        <v>2640</v>
      </c>
      <c r="C2676" s="36">
        <v>3</v>
      </c>
      <c r="D2676" s="14" t="s">
        <v>1113</v>
      </c>
    </row>
    <row r="2677" spans="1:4" ht="12.75" customHeight="1">
      <c r="A2677" s="10"/>
      <c r="B2677" s="24" t="s">
        <v>2620</v>
      </c>
      <c r="C2677" s="36">
        <v>2</v>
      </c>
      <c r="D2677" s="14" t="s">
        <v>547</v>
      </c>
    </row>
    <row r="2678" spans="1:4" ht="12.75" customHeight="1">
      <c r="A2678" s="10"/>
      <c r="B2678" s="24" t="s">
        <v>2621</v>
      </c>
      <c r="C2678" s="36">
        <v>4</v>
      </c>
      <c r="D2678" s="14" t="s">
        <v>1107</v>
      </c>
    </row>
    <row r="2679" spans="1:4" ht="12.75" customHeight="1">
      <c r="A2679" s="10"/>
      <c r="B2679" s="24" t="s">
        <v>2642</v>
      </c>
      <c r="C2679" s="36" t="s">
        <v>2656</v>
      </c>
      <c r="D2679" s="14" t="s">
        <v>653</v>
      </c>
    </row>
    <row r="2680" spans="1:4" ht="12.75" customHeight="1">
      <c r="A2680" s="10"/>
      <c r="B2680" s="24" t="s">
        <v>2568</v>
      </c>
      <c r="C2680" s="30" t="s">
        <v>2623</v>
      </c>
      <c r="D2680" s="14" t="s">
        <v>2569</v>
      </c>
    </row>
    <row r="2681" spans="1:4" ht="12.75" customHeight="1">
      <c r="A2681" s="35"/>
      <c r="B2681" s="24"/>
      <c r="C2681" s="36"/>
      <c r="D2681" s="14"/>
    </row>
    <row r="2682" spans="1:4" ht="12.75" customHeight="1">
      <c r="A2682" s="35"/>
      <c r="B2682" s="24"/>
      <c r="C2682" s="36"/>
      <c r="D2682" s="14"/>
    </row>
    <row r="2683" spans="1:4" ht="12.75" customHeight="1">
      <c r="A2683" s="35"/>
      <c r="B2683" s="24"/>
      <c r="C2683" s="36"/>
      <c r="D2683" s="14"/>
    </row>
    <row r="2684" spans="1:4" ht="12.75" customHeight="1">
      <c r="A2684" s="35"/>
      <c r="B2684" s="24"/>
      <c r="C2684" s="36"/>
      <c r="D2684" s="14"/>
    </row>
    <row r="2685" spans="1:4" ht="12.75" customHeight="1">
      <c r="A2685" s="35"/>
      <c r="B2685" s="24"/>
      <c r="C2685" s="36"/>
      <c r="D2685" s="14"/>
    </row>
    <row r="2686" spans="1:4" ht="12.75" customHeight="1">
      <c r="A2686" s="7" t="s">
        <v>1563</v>
      </c>
      <c r="B2686" s="24" t="s">
        <v>2734</v>
      </c>
      <c r="C2686" s="30" t="s">
        <v>2608</v>
      </c>
      <c r="D2686" s="14" t="s">
        <v>1902</v>
      </c>
    </row>
    <row r="2687" spans="1:4" ht="12.75" customHeight="1">
      <c r="A2687" s="7"/>
      <c r="B2687" s="24" t="s">
        <v>420</v>
      </c>
      <c r="C2687" s="30" t="s">
        <v>2609</v>
      </c>
      <c r="D2687" s="14" t="s">
        <v>422</v>
      </c>
    </row>
    <row r="2688" spans="1:4" ht="9.75" customHeight="1">
      <c r="A2688" s="7"/>
      <c r="B2688" s="24" t="s">
        <v>2722</v>
      </c>
      <c r="C2688" s="30" t="s">
        <v>2608</v>
      </c>
      <c r="D2688" s="14" t="s">
        <v>2184</v>
      </c>
    </row>
    <row r="2689" spans="1:4" ht="15" customHeight="1">
      <c r="A2689" s="7"/>
      <c r="B2689" s="24" t="s">
        <v>420</v>
      </c>
      <c r="C2689" s="30" t="s">
        <v>2609</v>
      </c>
      <c r="D2689" s="14" t="s">
        <v>422</v>
      </c>
    </row>
    <row r="2690" spans="1:4" ht="15" customHeight="1">
      <c r="A2690" s="7"/>
      <c r="B2690" s="24" t="s">
        <v>2732</v>
      </c>
      <c r="C2690" s="30" t="s">
        <v>2608</v>
      </c>
      <c r="D2690" s="14" t="s">
        <v>1878</v>
      </c>
    </row>
    <row r="2691" spans="1:4" ht="15" customHeight="1">
      <c r="A2691" s="7"/>
      <c r="B2691" s="24" t="s">
        <v>420</v>
      </c>
      <c r="C2691" s="30" t="s">
        <v>2608</v>
      </c>
      <c r="D2691" s="14" t="s">
        <v>422</v>
      </c>
    </row>
    <row r="2692" spans="1:4" ht="15" customHeight="1">
      <c r="A2692" s="7"/>
      <c r="B2692" s="24" t="s">
        <v>2638</v>
      </c>
      <c r="C2692" s="30" t="s">
        <v>2608</v>
      </c>
      <c r="D2692" s="14" t="s">
        <v>1898</v>
      </c>
    </row>
    <row r="2693" spans="1:4" ht="15" customHeight="1">
      <c r="A2693" s="7"/>
      <c r="B2693" s="24" t="s">
        <v>2733</v>
      </c>
      <c r="C2693" s="30" t="s">
        <v>2608</v>
      </c>
      <c r="D2693" s="14" t="s">
        <v>2000</v>
      </c>
    </row>
    <row r="2694" spans="1:4" ht="15" customHeight="1">
      <c r="A2694" s="7"/>
      <c r="B2694" s="24" t="s">
        <v>2725</v>
      </c>
      <c r="C2694" s="30" t="s">
        <v>2608</v>
      </c>
      <c r="D2694" s="14" t="s">
        <v>2726</v>
      </c>
    </row>
    <row r="2695" spans="1:4" ht="15" customHeight="1">
      <c r="A2695" s="7"/>
      <c r="B2695" s="24" t="s">
        <v>2735</v>
      </c>
      <c r="C2695" s="30" t="s">
        <v>2608</v>
      </c>
      <c r="D2695" s="14" t="s">
        <v>2083</v>
      </c>
    </row>
    <row r="2696" spans="1:4" ht="15" customHeight="1">
      <c r="A2696" s="7"/>
      <c r="B2696" s="24" t="s">
        <v>2637</v>
      </c>
      <c r="C2696" s="30" t="s">
        <v>2608</v>
      </c>
      <c r="D2696" s="14" t="s">
        <v>2180</v>
      </c>
    </row>
    <row r="2697" spans="1:4" ht="15" customHeight="1">
      <c r="A2697" s="7"/>
      <c r="B2697" s="24" t="s">
        <v>2727</v>
      </c>
      <c r="C2697" s="30" t="s">
        <v>2608</v>
      </c>
      <c r="D2697" s="14" t="s">
        <v>1894</v>
      </c>
    </row>
    <row r="2698" spans="1:4" ht="15" customHeight="1">
      <c r="A2698" s="7"/>
      <c r="B2698" s="24" t="s">
        <v>2728</v>
      </c>
      <c r="C2698" s="30" t="s">
        <v>2609</v>
      </c>
      <c r="D2698" s="14" t="s">
        <v>424</v>
      </c>
    </row>
    <row r="2699" spans="1:4" ht="15" customHeight="1">
      <c r="A2699" s="7"/>
      <c r="B2699" s="24" t="s">
        <v>2617</v>
      </c>
      <c r="C2699" s="36">
        <v>1</v>
      </c>
      <c r="D2699" s="14" t="s">
        <v>2293</v>
      </c>
    </row>
    <row r="2700" spans="1:4" ht="15" customHeight="1">
      <c r="A2700" s="7"/>
      <c r="B2700" s="24" t="s">
        <v>2618</v>
      </c>
      <c r="C2700" s="36">
        <v>1</v>
      </c>
      <c r="D2700" s="14" t="s">
        <v>2317</v>
      </c>
    </row>
    <row r="2701" spans="1:4" ht="15" customHeight="1">
      <c r="A2701" s="7"/>
      <c r="B2701" s="24" t="s">
        <v>2619</v>
      </c>
      <c r="C2701" s="36">
        <v>4</v>
      </c>
      <c r="D2701" s="14" t="s">
        <v>2565</v>
      </c>
    </row>
    <row r="2702" spans="1:4" ht="15" customHeight="1">
      <c r="A2702" s="7"/>
      <c r="B2702" s="24" t="s">
        <v>2640</v>
      </c>
      <c r="C2702" s="36">
        <v>3</v>
      </c>
      <c r="D2702" s="14" t="s">
        <v>1113</v>
      </c>
    </row>
    <row r="2703" spans="1:4" ht="15" customHeight="1">
      <c r="A2703" s="7"/>
      <c r="B2703" s="24" t="s">
        <v>2736</v>
      </c>
      <c r="C2703" s="36">
        <v>1</v>
      </c>
      <c r="D2703" s="14" t="s">
        <v>2591</v>
      </c>
    </row>
    <row r="2704" spans="1:4" ht="15" customHeight="1">
      <c r="A2704" s="7"/>
      <c r="B2704" s="24" t="s">
        <v>2620</v>
      </c>
      <c r="C2704" s="36">
        <v>2</v>
      </c>
      <c r="D2704" s="14" t="s">
        <v>547</v>
      </c>
    </row>
    <row r="2705" spans="1:4" ht="15" customHeight="1">
      <c r="A2705" s="7"/>
      <c r="B2705" s="24" t="s">
        <v>2621</v>
      </c>
      <c r="C2705" s="36">
        <v>4</v>
      </c>
      <c r="D2705" s="14" t="s">
        <v>1107</v>
      </c>
    </row>
    <row r="2706" spans="1:4" ht="15" customHeight="1">
      <c r="A2706" s="7"/>
      <c r="B2706" s="24" t="s">
        <v>2642</v>
      </c>
      <c r="C2706" s="36" t="s">
        <v>2656</v>
      </c>
      <c r="D2706" s="14" t="s">
        <v>653</v>
      </c>
    </row>
    <row r="2707" spans="1:4" ht="15" customHeight="1">
      <c r="A2707" s="7"/>
      <c r="B2707" s="24" t="s">
        <v>2568</v>
      </c>
      <c r="C2707" s="30" t="s">
        <v>2623</v>
      </c>
      <c r="D2707" s="14" t="s">
        <v>2569</v>
      </c>
    </row>
    <row r="2708" spans="1:4" ht="17.25" customHeight="1">
      <c r="A2708" s="7"/>
      <c r="B2708" s="24" t="s">
        <v>2624</v>
      </c>
      <c r="C2708" s="36">
        <v>2</v>
      </c>
      <c r="D2708" s="14" t="s">
        <v>1179</v>
      </c>
    </row>
    <row r="2709" spans="1:4" ht="19.5" customHeight="1">
      <c r="A2709" s="7"/>
      <c r="B2709" s="24" t="s">
        <v>2625</v>
      </c>
      <c r="C2709" s="36">
        <v>2</v>
      </c>
      <c r="D2709" s="14" t="s">
        <v>2571</v>
      </c>
    </row>
    <row r="2710" spans="1:4" ht="16.5" customHeight="1">
      <c r="A2710" s="7"/>
      <c r="B2710" s="31" t="s">
        <v>2626</v>
      </c>
      <c r="C2710" s="32" t="s">
        <v>2623</v>
      </c>
      <c r="D2710" s="14" t="s">
        <v>1181</v>
      </c>
    </row>
    <row r="2711" spans="1:4" ht="16.5" customHeight="1">
      <c r="A2711" s="35"/>
      <c r="B2711" s="24"/>
      <c r="C2711" s="36"/>
      <c r="D2711" s="14"/>
    </row>
    <row r="2712" spans="1:4" ht="16.5" customHeight="1">
      <c r="A2712" s="35"/>
      <c r="B2712" s="24"/>
      <c r="C2712" s="36"/>
      <c r="D2712" s="14"/>
    </row>
    <row r="2713" spans="1:4" ht="16.5" customHeight="1">
      <c r="A2713" s="35"/>
      <c r="B2713" s="24"/>
      <c r="C2713" s="36"/>
      <c r="D2713" s="14"/>
    </row>
    <row r="2714" spans="1:4" ht="16.5" customHeight="1">
      <c r="A2714" s="35"/>
      <c r="B2714" s="24"/>
      <c r="C2714" s="36"/>
      <c r="D2714" s="14"/>
    </row>
    <row r="2715" spans="1:4" ht="16.5" customHeight="1">
      <c r="A2715" s="35"/>
      <c r="B2715" s="24"/>
      <c r="C2715" s="36"/>
      <c r="D2715" s="14"/>
    </row>
    <row r="2716" spans="1:4" ht="16.5" customHeight="1">
      <c r="A2716" s="7" t="s">
        <v>1565</v>
      </c>
      <c r="B2716" s="24" t="s">
        <v>2731</v>
      </c>
      <c r="C2716" s="30" t="s">
        <v>2608</v>
      </c>
      <c r="D2716" s="14" t="s">
        <v>1902</v>
      </c>
    </row>
    <row r="2717" spans="1:4" ht="16.5" customHeight="1">
      <c r="A2717" s="7"/>
      <c r="B2717" s="24" t="s">
        <v>420</v>
      </c>
      <c r="C2717" s="30" t="s">
        <v>2609</v>
      </c>
      <c r="D2717" s="14" t="s">
        <v>422</v>
      </c>
    </row>
    <row r="2718" spans="1:4" ht="19.5" customHeight="1">
      <c r="A2718" s="7"/>
      <c r="B2718" s="24" t="s">
        <v>2722</v>
      </c>
      <c r="C2718" s="30" t="s">
        <v>2608</v>
      </c>
      <c r="D2718" s="14" t="s">
        <v>2184</v>
      </c>
    </row>
    <row r="2719" spans="1:4" ht="15" customHeight="1">
      <c r="A2719" s="7"/>
      <c r="B2719" s="24" t="s">
        <v>420</v>
      </c>
      <c r="C2719" s="30" t="s">
        <v>2609</v>
      </c>
      <c r="D2719" s="14" t="s">
        <v>422</v>
      </c>
    </row>
    <row r="2720" spans="1:4" ht="15" customHeight="1">
      <c r="A2720" s="7"/>
      <c r="B2720" s="24" t="s">
        <v>2732</v>
      </c>
      <c r="C2720" s="30" t="s">
        <v>2608</v>
      </c>
      <c r="D2720" s="14" t="s">
        <v>1878</v>
      </c>
    </row>
    <row r="2721" spans="1:4" ht="15" customHeight="1">
      <c r="A2721" s="7"/>
      <c r="B2721" s="24" t="s">
        <v>2733</v>
      </c>
      <c r="C2721" s="30" t="s">
        <v>2608</v>
      </c>
      <c r="D2721" s="14" t="s">
        <v>2000</v>
      </c>
    </row>
    <row r="2722" spans="1:4" ht="15" customHeight="1">
      <c r="A2722" s="7"/>
      <c r="B2722" s="24" t="s">
        <v>420</v>
      </c>
      <c r="C2722" s="30" t="s">
        <v>2608</v>
      </c>
      <c r="D2722" s="14" t="s">
        <v>422</v>
      </c>
    </row>
    <row r="2723" spans="1:4" ht="15" customHeight="1">
      <c r="A2723" s="7"/>
      <c r="B2723" s="24" t="s">
        <v>2638</v>
      </c>
      <c r="C2723" s="30" t="s">
        <v>2608</v>
      </c>
      <c r="D2723" s="14" t="s">
        <v>1898</v>
      </c>
    </row>
    <row r="2724" spans="1:4" ht="15" customHeight="1">
      <c r="A2724" s="7"/>
      <c r="B2724" s="24" t="s">
        <v>2637</v>
      </c>
      <c r="C2724" s="30" t="s">
        <v>2608</v>
      </c>
      <c r="D2724" s="14" t="s">
        <v>2180</v>
      </c>
    </row>
    <row r="2725" spans="1:4" ht="15" customHeight="1">
      <c r="A2725" s="7"/>
      <c r="B2725" s="24" t="s">
        <v>2725</v>
      </c>
      <c r="C2725" s="30" t="s">
        <v>2608</v>
      </c>
      <c r="D2725" s="14" t="s">
        <v>2726</v>
      </c>
    </row>
    <row r="2726" spans="1:4" ht="15" customHeight="1">
      <c r="A2726" s="7"/>
      <c r="B2726" s="24" t="s">
        <v>2658</v>
      </c>
      <c r="C2726" s="30" t="s">
        <v>2608</v>
      </c>
      <c r="D2726" s="14" t="s">
        <v>2038</v>
      </c>
    </row>
    <row r="2727" spans="1:4" ht="15" customHeight="1">
      <c r="A2727" s="7"/>
      <c r="B2727" s="24" t="s">
        <v>2735</v>
      </c>
      <c r="C2727" s="30" t="s">
        <v>2608</v>
      </c>
      <c r="D2727" s="14" t="s">
        <v>2083</v>
      </c>
    </row>
    <row r="2728" spans="1:4" ht="15" customHeight="1">
      <c r="A2728" s="7"/>
      <c r="B2728" s="24" t="s">
        <v>2727</v>
      </c>
      <c r="C2728" s="30" t="s">
        <v>2608</v>
      </c>
      <c r="D2728" s="14" t="s">
        <v>1894</v>
      </c>
    </row>
    <row r="2729" spans="1:4" ht="15" customHeight="1">
      <c r="A2729" s="7"/>
      <c r="B2729" s="24" t="s">
        <v>2728</v>
      </c>
      <c r="C2729" s="30" t="s">
        <v>2609</v>
      </c>
      <c r="D2729" s="14" t="s">
        <v>424</v>
      </c>
    </row>
    <row r="2730" spans="1:4" ht="15" customHeight="1">
      <c r="A2730" s="7"/>
      <c r="B2730" s="24" t="s">
        <v>2617</v>
      </c>
      <c r="C2730" s="36">
        <v>1</v>
      </c>
      <c r="D2730" s="14" t="s">
        <v>2293</v>
      </c>
    </row>
    <row r="2731" spans="1:4" ht="15" customHeight="1">
      <c r="A2731" s="7"/>
      <c r="B2731" s="24" t="s">
        <v>2618</v>
      </c>
      <c r="C2731" s="36">
        <v>1</v>
      </c>
      <c r="D2731" s="14" t="s">
        <v>2317</v>
      </c>
    </row>
    <row r="2732" spans="1:4" ht="15" customHeight="1">
      <c r="A2732" s="7"/>
      <c r="B2732" s="24" t="s">
        <v>2619</v>
      </c>
      <c r="C2732" s="36">
        <v>4</v>
      </c>
      <c r="D2732" s="14" t="s">
        <v>2565</v>
      </c>
    </row>
    <row r="2733" spans="1:4" ht="15" customHeight="1">
      <c r="A2733" s="7"/>
      <c r="B2733" s="24" t="s">
        <v>2640</v>
      </c>
      <c r="C2733" s="36">
        <v>3</v>
      </c>
      <c r="D2733" s="14" t="s">
        <v>1113</v>
      </c>
    </row>
    <row r="2734" spans="1:4" ht="15" customHeight="1">
      <c r="A2734" s="7"/>
      <c r="B2734" s="24" t="s">
        <v>2736</v>
      </c>
      <c r="C2734" s="36">
        <v>1</v>
      </c>
      <c r="D2734" s="14" t="s">
        <v>2591</v>
      </c>
    </row>
    <row r="2735" spans="1:4" ht="15" customHeight="1">
      <c r="A2735" s="7"/>
      <c r="B2735" s="24" t="s">
        <v>2620</v>
      </c>
      <c r="C2735" s="36">
        <v>2</v>
      </c>
      <c r="D2735" s="14" t="s">
        <v>547</v>
      </c>
    </row>
    <row r="2736" spans="1:4" ht="15" customHeight="1">
      <c r="A2736" s="7"/>
      <c r="B2736" s="24" t="s">
        <v>2621</v>
      </c>
      <c r="C2736" s="36">
        <v>4</v>
      </c>
      <c r="D2736" s="14" t="s">
        <v>1107</v>
      </c>
    </row>
    <row r="2737" spans="1:4" ht="15" customHeight="1">
      <c r="A2737" s="7"/>
      <c r="B2737" s="24" t="s">
        <v>2642</v>
      </c>
      <c r="C2737" s="36" t="s">
        <v>2656</v>
      </c>
      <c r="D2737" s="14" t="s">
        <v>653</v>
      </c>
    </row>
    <row r="2738" spans="1:4" ht="15" customHeight="1">
      <c r="A2738" s="7"/>
      <c r="B2738" s="24" t="s">
        <v>2568</v>
      </c>
      <c r="C2738" s="30" t="s">
        <v>2623</v>
      </c>
      <c r="D2738" s="14" t="s">
        <v>2569</v>
      </c>
    </row>
    <row r="2739" spans="1:4" ht="15" customHeight="1">
      <c r="A2739" s="7"/>
      <c r="B2739" s="24" t="s">
        <v>2624</v>
      </c>
      <c r="C2739" s="36">
        <v>2</v>
      </c>
      <c r="D2739" s="14" t="s">
        <v>1179</v>
      </c>
    </row>
    <row r="2740" spans="1:4" ht="15" customHeight="1">
      <c r="A2740" s="7"/>
      <c r="B2740" s="24" t="s">
        <v>2625</v>
      </c>
      <c r="C2740" s="36">
        <v>2</v>
      </c>
      <c r="D2740" s="14" t="s">
        <v>2571</v>
      </c>
    </row>
    <row r="2741" spans="1:4" ht="19.5" customHeight="1">
      <c r="A2741" s="7"/>
      <c r="B2741" s="31" t="s">
        <v>2626</v>
      </c>
      <c r="C2741" s="32" t="s">
        <v>2623</v>
      </c>
      <c r="D2741" s="14" t="s">
        <v>1181</v>
      </c>
    </row>
    <row r="2742" spans="1:4" ht="19.5" customHeight="1">
      <c r="A2742" s="9" t="s">
        <v>1567</v>
      </c>
      <c r="B2742" s="24" t="s">
        <v>2721</v>
      </c>
      <c r="C2742" s="30" t="s">
        <v>2608</v>
      </c>
      <c r="D2742" s="14" t="s">
        <v>1874</v>
      </c>
    </row>
    <row r="2743" spans="1:4" ht="19.5" customHeight="1">
      <c r="A2743" s="9"/>
      <c r="B2743" s="24" t="s">
        <v>420</v>
      </c>
      <c r="C2743" s="30" t="s">
        <v>2609</v>
      </c>
      <c r="D2743" s="14" t="s">
        <v>422</v>
      </c>
    </row>
    <row r="2744" spans="1:4" ht="19.5" customHeight="1">
      <c r="A2744" s="9"/>
      <c r="B2744" s="24" t="s">
        <v>2722</v>
      </c>
      <c r="C2744" s="30" t="s">
        <v>2608</v>
      </c>
      <c r="D2744" s="14" t="s">
        <v>2184</v>
      </c>
    </row>
    <row r="2745" spans="1:4" ht="19.5" customHeight="1">
      <c r="A2745" s="9"/>
      <c r="B2745" s="24" t="s">
        <v>420</v>
      </c>
      <c r="C2745" s="30" t="s">
        <v>2609</v>
      </c>
      <c r="D2745" s="14" t="s">
        <v>422</v>
      </c>
    </row>
    <row r="2746" spans="1:4" ht="15" customHeight="1">
      <c r="A2746" s="9"/>
      <c r="B2746" s="24" t="s">
        <v>2732</v>
      </c>
      <c r="C2746" s="30" t="s">
        <v>2608</v>
      </c>
      <c r="D2746" s="14" t="s">
        <v>1878</v>
      </c>
    </row>
    <row r="2747" spans="1:4" ht="15" customHeight="1">
      <c r="A2747" s="9"/>
      <c r="B2747" s="24" t="s">
        <v>2733</v>
      </c>
      <c r="C2747" s="30" t="s">
        <v>2608</v>
      </c>
      <c r="D2747" s="14" t="s">
        <v>2000</v>
      </c>
    </row>
    <row r="2748" spans="1:4" ht="15" customHeight="1">
      <c r="A2748" s="9"/>
      <c r="B2748" s="24" t="s">
        <v>420</v>
      </c>
      <c r="C2748" s="30" t="s">
        <v>2608</v>
      </c>
      <c r="D2748" s="14" t="s">
        <v>422</v>
      </c>
    </row>
    <row r="2749" spans="1:4" ht="15" customHeight="1">
      <c r="A2749" s="9"/>
      <c r="B2749" s="24" t="s">
        <v>2637</v>
      </c>
      <c r="C2749" s="36"/>
      <c r="D2749" s="14" t="s">
        <v>2180</v>
      </c>
    </row>
    <row r="2750" spans="1:4" ht="15" customHeight="1">
      <c r="A2750" s="9"/>
      <c r="B2750" s="24" t="s">
        <v>2638</v>
      </c>
      <c r="C2750" s="30" t="s">
        <v>2608</v>
      </c>
      <c r="D2750" s="14" t="s">
        <v>1898</v>
      </c>
    </row>
    <row r="2751" spans="1:4" ht="15" customHeight="1">
      <c r="A2751" s="9"/>
      <c r="B2751" s="24" t="s">
        <v>2725</v>
      </c>
      <c r="C2751" s="30" t="s">
        <v>2608</v>
      </c>
      <c r="D2751" s="14" t="s">
        <v>2726</v>
      </c>
    </row>
    <row r="2752" spans="1:4" ht="15" customHeight="1">
      <c r="A2752" s="9"/>
      <c r="B2752" s="24" t="s">
        <v>2727</v>
      </c>
      <c r="C2752" s="30" t="s">
        <v>2608</v>
      </c>
      <c r="D2752" s="14" t="s">
        <v>1894</v>
      </c>
    </row>
    <row r="2753" spans="1:4" ht="15" customHeight="1">
      <c r="A2753" s="9"/>
      <c r="B2753" s="24" t="s">
        <v>2728</v>
      </c>
      <c r="C2753" s="30" t="s">
        <v>2609</v>
      </c>
      <c r="D2753" s="14" t="s">
        <v>424</v>
      </c>
    </row>
    <row r="2754" spans="1:4" ht="15" customHeight="1">
      <c r="A2754" s="9"/>
      <c r="B2754" s="24" t="s">
        <v>2617</v>
      </c>
      <c r="C2754" s="36">
        <v>1</v>
      </c>
      <c r="D2754" s="14" t="s">
        <v>2293</v>
      </c>
    </row>
    <row r="2755" spans="1:4" ht="15" customHeight="1">
      <c r="A2755" s="9"/>
      <c r="B2755" s="24" t="s">
        <v>2618</v>
      </c>
      <c r="C2755" s="36">
        <v>2</v>
      </c>
      <c r="D2755" s="14" t="s">
        <v>2317</v>
      </c>
    </row>
    <row r="2756" spans="1:4" ht="15" customHeight="1">
      <c r="A2756" s="9"/>
      <c r="B2756" s="24" t="s">
        <v>2619</v>
      </c>
      <c r="C2756" s="36">
        <v>4</v>
      </c>
      <c r="D2756" s="14" t="s">
        <v>2565</v>
      </c>
    </row>
    <row r="2757" spans="1:4" ht="15" customHeight="1">
      <c r="A2757" s="9"/>
      <c r="B2757" s="24" t="s">
        <v>2640</v>
      </c>
      <c r="C2757" s="36">
        <v>4</v>
      </c>
      <c r="D2757" s="14" t="s">
        <v>1113</v>
      </c>
    </row>
    <row r="2758" spans="1:4" ht="15" customHeight="1">
      <c r="A2758" s="9"/>
      <c r="B2758" s="24" t="s">
        <v>2736</v>
      </c>
      <c r="C2758" s="36">
        <v>1</v>
      </c>
      <c r="D2758" s="14" t="s">
        <v>2591</v>
      </c>
    </row>
    <row r="2759" spans="1:4" ht="15" customHeight="1">
      <c r="A2759" s="9"/>
      <c r="B2759" s="24" t="s">
        <v>2620</v>
      </c>
      <c r="C2759" s="36">
        <v>3</v>
      </c>
      <c r="D2759" s="14" t="s">
        <v>547</v>
      </c>
    </row>
    <row r="2760" spans="1:4" ht="15" customHeight="1">
      <c r="A2760" s="9"/>
      <c r="B2760" s="24" t="s">
        <v>2621</v>
      </c>
      <c r="C2760" s="36">
        <v>6</v>
      </c>
      <c r="D2760" s="14" t="s">
        <v>1107</v>
      </c>
    </row>
    <row r="2761" spans="1:4" ht="15" customHeight="1">
      <c r="A2761" s="9"/>
      <c r="B2761" s="24" t="s">
        <v>2642</v>
      </c>
      <c r="C2761" s="36">
        <v>2</v>
      </c>
      <c r="D2761" s="14" t="s">
        <v>653</v>
      </c>
    </row>
    <row r="2762" spans="1:4" ht="15" customHeight="1">
      <c r="A2762" s="9"/>
      <c r="B2762" s="24" t="s">
        <v>2568</v>
      </c>
      <c r="C2762" s="30" t="s">
        <v>2623</v>
      </c>
      <c r="D2762" s="14" t="s">
        <v>2569</v>
      </c>
    </row>
    <row r="2763" spans="1:4" ht="15" customHeight="1">
      <c r="A2763" s="9"/>
      <c r="B2763" s="24" t="s">
        <v>2624</v>
      </c>
      <c r="C2763" s="36">
        <v>4</v>
      </c>
      <c r="D2763" s="14" t="s">
        <v>1179</v>
      </c>
    </row>
    <row r="2764" spans="1:4" ht="15" customHeight="1">
      <c r="A2764" s="9"/>
      <c r="B2764" s="24" t="s">
        <v>2625</v>
      </c>
      <c r="C2764" s="36">
        <v>4</v>
      </c>
      <c r="D2764" s="14" t="s">
        <v>2571</v>
      </c>
    </row>
    <row r="2765" spans="1:4" ht="15" customHeight="1">
      <c r="A2765" s="9"/>
      <c r="B2765" s="31" t="s">
        <v>2626</v>
      </c>
      <c r="C2765" s="32" t="s">
        <v>2623</v>
      </c>
      <c r="D2765" s="14" t="s">
        <v>1181</v>
      </c>
    </row>
    <row r="2766" spans="1:4" ht="19.5" customHeight="1">
      <c r="A2766" s="9" t="s">
        <v>1569</v>
      </c>
      <c r="B2766" s="24" t="s">
        <v>2729</v>
      </c>
      <c r="C2766" s="30" t="s">
        <v>2608</v>
      </c>
      <c r="D2766" s="14" t="s">
        <v>1870</v>
      </c>
    </row>
    <row r="2767" spans="1:4" ht="19.5" customHeight="1">
      <c r="A2767" s="9"/>
      <c r="B2767" s="24" t="s">
        <v>420</v>
      </c>
      <c r="C2767" s="30" t="s">
        <v>2609</v>
      </c>
      <c r="D2767" s="14" t="s">
        <v>422</v>
      </c>
    </row>
    <row r="2768" spans="1:4" ht="19.5" customHeight="1">
      <c r="A2768" s="9"/>
      <c r="B2768" s="24" t="s">
        <v>2722</v>
      </c>
      <c r="C2768" s="30" t="s">
        <v>2608</v>
      </c>
      <c r="D2768" s="14" t="s">
        <v>2184</v>
      </c>
    </row>
    <row r="2769" spans="1:4" ht="19.5" customHeight="1">
      <c r="A2769" s="9"/>
      <c r="B2769" s="24" t="s">
        <v>420</v>
      </c>
      <c r="C2769" s="30" t="s">
        <v>2608</v>
      </c>
      <c r="D2769" s="14" t="s">
        <v>422</v>
      </c>
    </row>
    <row r="2770" spans="1:4" ht="19.5" customHeight="1">
      <c r="A2770" s="9"/>
      <c r="B2770" s="24" t="s">
        <v>2637</v>
      </c>
      <c r="C2770" s="30" t="s">
        <v>2608</v>
      </c>
      <c r="D2770" s="14" t="s">
        <v>2180</v>
      </c>
    </row>
    <row r="2771" spans="1:4" ht="19.5" customHeight="1">
      <c r="A2771" s="9"/>
      <c r="B2771" s="24" t="s">
        <v>2638</v>
      </c>
      <c r="C2771" s="30" t="s">
        <v>2608</v>
      </c>
      <c r="D2771" s="14" t="s">
        <v>1898</v>
      </c>
    </row>
    <row r="2772" spans="1:4" ht="19.5" customHeight="1">
      <c r="A2772" s="9"/>
      <c r="B2772" s="24" t="s">
        <v>420</v>
      </c>
      <c r="C2772" s="30" t="s">
        <v>2608</v>
      </c>
      <c r="D2772" s="14" t="s">
        <v>422</v>
      </c>
    </row>
    <row r="2773" spans="1:4" ht="19.5" customHeight="1">
      <c r="A2773" s="9"/>
      <c r="B2773" s="24" t="s">
        <v>2723</v>
      </c>
      <c r="C2773" s="30" t="s">
        <v>2608</v>
      </c>
      <c r="D2773" s="14" t="s">
        <v>1878</v>
      </c>
    </row>
    <row r="2774" spans="1:4" ht="19.5" customHeight="1">
      <c r="A2774" s="9"/>
      <c r="B2774" s="24" t="s">
        <v>2724</v>
      </c>
      <c r="C2774" s="30" t="s">
        <v>2608</v>
      </c>
      <c r="D2774" s="14" t="s">
        <v>2000</v>
      </c>
    </row>
    <row r="2775" spans="1:4" ht="19.5" customHeight="1">
      <c r="A2775" s="9"/>
      <c r="B2775" s="24" t="s">
        <v>2725</v>
      </c>
      <c r="C2775" s="30" t="s">
        <v>2608</v>
      </c>
      <c r="D2775" s="14" t="s">
        <v>2726</v>
      </c>
    </row>
    <row r="2776" spans="1:4" ht="19.5" customHeight="1">
      <c r="A2776" s="9"/>
      <c r="B2776" s="24" t="s">
        <v>2727</v>
      </c>
      <c r="C2776" s="30" t="s">
        <v>2608</v>
      </c>
      <c r="D2776" s="14" t="s">
        <v>1894</v>
      </c>
    </row>
    <row r="2777" spans="1:4" ht="19.5" customHeight="1">
      <c r="A2777" s="9"/>
      <c r="B2777" s="24" t="s">
        <v>2728</v>
      </c>
      <c r="C2777" s="30" t="s">
        <v>2609</v>
      </c>
      <c r="D2777" s="14" t="s">
        <v>424</v>
      </c>
    </row>
    <row r="2778" spans="1:4" ht="19.5" customHeight="1">
      <c r="A2778" s="9"/>
      <c r="B2778" s="24" t="s">
        <v>2617</v>
      </c>
      <c r="C2778" s="36">
        <v>1</v>
      </c>
      <c r="D2778" s="14" t="s">
        <v>2293</v>
      </c>
    </row>
    <row r="2779" spans="1:4" ht="19.5" customHeight="1">
      <c r="A2779" s="9"/>
      <c r="B2779" s="24" t="s">
        <v>2618</v>
      </c>
      <c r="C2779" s="36">
        <v>2</v>
      </c>
      <c r="D2779" s="14" t="s">
        <v>2317</v>
      </c>
    </row>
    <row r="2780" spans="1:4" ht="19.5" customHeight="1">
      <c r="A2780" s="9"/>
      <c r="B2780" s="24" t="s">
        <v>2640</v>
      </c>
      <c r="C2780" s="36">
        <v>4</v>
      </c>
      <c r="D2780" s="14" t="s">
        <v>1113</v>
      </c>
    </row>
    <row r="2781" spans="1:4" ht="19.5" customHeight="1">
      <c r="A2781" s="9"/>
      <c r="B2781" s="24" t="s">
        <v>2619</v>
      </c>
      <c r="C2781" s="36">
        <v>4</v>
      </c>
      <c r="D2781" s="14" t="s">
        <v>2565</v>
      </c>
    </row>
    <row r="2782" spans="1:4" ht="19.5" customHeight="1">
      <c r="A2782" s="9"/>
      <c r="B2782" s="24" t="s">
        <v>2620</v>
      </c>
      <c r="C2782" s="36">
        <v>3</v>
      </c>
      <c r="D2782" s="14" t="s">
        <v>547</v>
      </c>
    </row>
    <row r="2783" spans="1:4" ht="19.5" customHeight="1">
      <c r="A2783" s="9"/>
      <c r="B2783" s="24" t="s">
        <v>2736</v>
      </c>
      <c r="C2783" s="36">
        <v>1</v>
      </c>
      <c r="D2783" s="14" t="s">
        <v>2591</v>
      </c>
    </row>
    <row r="2784" spans="1:4" ht="19.5" customHeight="1">
      <c r="A2784" s="9"/>
      <c r="B2784" s="24" t="s">
        <v>2621</v>
      </c>
      <c r="C2784" s="36">
        <v>6</v>
      </c>
      <c r="D2784" s="14" t="s">
        <v>1107</v>
      </c>
    </row>
    <row r="2785" spans="1:4" ht="19.5" customHeight="1">
      <c r="A2785" s="9"/>
      <c r="B2785" s="24" t="s">
        <v>2642</v>
      </c>
      <c r="C2785" s="36">
        <v>2</v>
      </c>
      <c r="D2785" s="14" t="s">
        <v>653</v>
      </c>
    </row>
    <row r="2786" spans="1:4" ht="19.5" customHeight="1">
      <c r="A2786" s="9"/>
      <c r="B2786" s="24" t="s">
        <v>2568</v>
      </c>
      <c r="C2786" s="30" t="s">
        <v>2623</v>
      </c>
      <c r="D2786" s="14" t="s">
        <v>2569</v>
      </c>
    </row>
    <row r="2787" spans="1:4" ht="19.5" customHeight="1">
      <c r="A2787" s="9"/>
      <c r="B2787" s="24" t="s">
        <v>2624</v>
      </c>
      <c r="C2787" s="36">
        <v>4</v>
      </c>
      <c r="D2787" s="14" t="s">
        <v>1179</v>
      </c>
    </row>
    <row r="2788" spans="1:4" ht="19.5" customHeight="1">
      <c r="A2788" s="9"/>
      <c r="B2788" s="24" t="s">
        <v>2645</v>
      </c>
      <c r="C2788" s="36">
        <v>4</v>
      </c>
      <c r="D2788" s="14" t="s">
        <v>2571</v>
      </c>
    </row>
    <row r="2789" spans="1:4" ht="15" customHeight="1">
      <c r="A2789" s="9"/>
      <c r="B2789" s="31" t="s">
        <v>2626</v>
      </c>
      <c r="C2789" s="32" t="s">
        <v>2623</v>
      </c>
      <c r="D2789" s="14" t="s">
        <v>1181</v>
      </c>
    </row>
    <row r="2790" spans="1:4" ht="15" customHeight="1">
      <c r="A2790" s="9" t="s">
        <v>1571</v>
      </c>
      <c r="B2790" s="37" t="s">
        <v>2737</v>
      </c>
      <c r="C2790" s="34" t="s">
        <v>2608</v>
      </c>
      <c r="D2790" s="14" t="s">
        <v>1826</v>
      </c>
    </row>
    <row r="2791" spans="1:4" ht="15" customHeight="1">
      <c r="A2791" s="9"/>
      <c r="B2791" s="38" t="s">
        <v>2738</v>
      </c>
      <c r="C2791" s="34" t="s">
        <v>2608</v>
      </c>
      <c r="D2791" s="14" t="s">
        <v>1834</v>
      </c>
    </row>
    <row r="2792" spans="1:4" ht="15" customHeight="1">
      <c r="A2792" s="9"/>
      <c r="B2792" s="24" t="s">
        <v>420</v>
      </c>
      <c r="C2792" s="30" t="s">
        <v>2739</v>
      </c>
      <c r="D2792" s="14" t="s">
        <v>422</v>
      </c>
    </row>
    <row r="2793" spans="1:4" ht="15" customHeight="1">
      <c r="A2793" s="9"/>
      <c r="B2793" s="24" t="s">
        <v>420</v>
      </c>
      <c r="C2793" s="30" t="s">
        <v>2609</v>
      </c>
      <c r="D2793" s="14" t="s">
        <v>422</v>
      </c>
    </row>
    <row r="2794" spans="1:4" ht="15" customHeight="1">
      <c r="A2794" s="9"/>
      <c r="B2794" s="24" t="s">
        <v>420</v>
      </c>
      <c r="C2794" s="30" t="s">
        <v>2609</v>
      </c>
      <c r="D2794" s="14" t="s">
        <v>422</v>
      </c>
    </row>
    <row r="2795" spans="1:4" ht="15" customHeight="1">
      <c r="A2795" s="9"/>
      <c r="B2795" s="38" t="s">
        <v>2740</v>
      </c>
      <c r="C2795" s="34" t="s">
        <v>2608</v>
      </c>
      <c r="D2795" s="14" t="s">
        <v>2741</v>
      </c>
    </row>
    <row r="2796" spans="1:4" ht="15" customHeight="1">
      <c r="A2796" s="9"/>
      <c r="B2796" s="38" t="s">
        <v>2711</v>
      </c>
      <c r="C2796" s="36">
        <v>2</v>
      </c>
      <c r="D2796" s="14" t="s">
        <v>2377</v>
      </c>
    </row>
    <row r="2797" spans="1:4" ht="15" customHeight="1">
      <c r="A2797" s="9"/>
      <c r="B2797" s="38" t="s">
        <v>2742</v>
      </c>
      <c r="C2797" s="36">
        <v>1</v>
      </c>
      <c r="D2797" s="14" t="s">
        <v>2284</v>
      </c>
    </row>
    <row r="2798" spans="1:4" ht="15" customHeight="1">
      <c r="A2798" s="9"/>
      <c r="B2798" s="38" t="s">
        <v>2675</v>
      </c>
      <c r="C2798" s="36">
        <v>2</v>
      </c>
      <c r="D2798" s="14" t="s">
        <v>1105</v>
      </c>
    </row>
    <row r="2799" spans="1:4" ht="15" customHeight="1">
      <c r="A2799" s="9"/>
      <c r="B2799" s="39" t="s">
        <v>2676</v>
      </c>
      <c r="C2799" s="32">
        <v>1</v>
      </c>
      <c r="D2799" s="14" t="s">
        <v>530</v>
      </c>
    </row>
    <row r="2800" spans="1:4" ht="15" customHeight="1">
      <c r="A2800" s="9" t="s">
        <v>1573</v>
      </c>
      <c r="B2800" s="37" t="s">
        <v>2743</v>
      </c>
      <c r="C2800" s="34" t="s">
        <v>2608</v>
      </c>
      <c r="D2800" s="14" t="s">
        <v>1822</v>
      </c>
    </row>
    <row r="2801" spans="1:4" ht="15" customHeight="1">
      <c r="A2801" s="9"/>
      <c r="B2801" s="38" t="s">
        <v>2738</v>
      </c>
      <c r="C2801" s="34" t="s">
        <v>2608</v>
      </c>
      <c r="D2801" s="14" t="s">
        <v>1834</v>
      </c>
    </row>
    <row r="2802" spans="1:4" ht="15" customHeight="1">
      <c r="A2802" s="9"/>
      <c r="B2802" s="24" t="s">
        <v>420</v>
      </c>
      <c r="C2802" s="30" t="s">
        <v>2609</v>
      </c>
      <c r="D2802" s="14" t="s">
        <v>422</v>
      </c>
    </row>
    <row r="2803" spans="1:4" ht="15" customHeight="1">
      <c r="A2803" s="9"/>
      <c r="B2803" s="24" t="s">
        <v>420</v>
      </c>
      <c r="C2803" s="30" t="s">
        <v>2739</v>
      </c>
      <c r="D2803" s="14" t="s">
        <v>422</v>
      </c>
    </row>
    <row r="2804" spans="1:4" ht="15" customHeight="1">
      <c r="A2804" s="9"/>
      <c r="B2804" s="24" t="s">
        <v>420</v>
      </c>
      <c r="C2804" s="30" t="s">
        <v>2609</v>
      </c>
      <c r="D2804" s="14" t="s">
        <v>422</v>
      </c>
    </row>
    <row r="2805" spans="1:4" ht="15" customHeight="1">
      <c r="A2805" s="9"/>
      <c r="B2805" s="38" t="s">
        <v>2740</v>
      </c>
      <c r="C2805" s="34" t="s">
        <v>2608</v>
      </c>
      <c r="D2805" s="14" t="s">
        <v>2741</v>
      </c>
    </row>
    <row r="2806" spans="1:4" ht="15" customHeight="1">
      <c r="A2806" s="9"/>
      <c r="B2806" s="38" t="s">
        <v>2711</v>
      </c>
      <c r="C2806" s="36">
        <v>2</v>
      </c>
      <c r="D2806" s="14" t="s">
        <v>2377</v>
      </c>
    </row>
    <row r="2807" spans="1:4" ht="15.75" customHeight="1">
      <c r="A2807" s="9"/>
      <c r="B2807" s="38" t="s">
        <v>2742</v>
      </c>
      <c r="C2807" s="36">
        <v>1</v>
      </c>
      <c r="D2807" s="14" t="s">
        <v>2284</v>
      </c>
    </row>
    <row r="2808" spans="1:4" ht="15" customHeight="1">
      <c r="A2808" s="9"/>
      <c r="B2808" s="38" t="s">
        <v>2675</v>
      </c>
      <c r="C2808" s="36">
        <v>2</v>
      </c>
      <c r="D2808" s="14" t="s">
        <v>1105</v>
      </c>
    </row>
    <row r="2809" spans="1:4" ht="19.5" customHeight="1">
      <c r="A2809" s="9"/>
      <c r="B2809" s="39" t="s">
        <v>2676</v>
      </c>
      <c r="C2809" s="32">
        <v>1</v>
      </c>
      <c r="D2809" s="14" t="s">
        <v>530</v>
      </c>
    </row>
    <row r="2810" spans="1:4" ht="19.5" customHeight="1">
      <c r="A2810" s="9" t="s">
        <v>1575</v>
      </c>
      <c r="B2810" s="37" t="s">
        <v>2737</v>
      </c>
      <c r="C2810" s="34" t="s">
        <v>2608</v>
      </c>
      <c r="D2810" s="14" t="s">
        <v>1826</v>
      </c>
    </row>
    <row r="2811" spans="1:4" ht="19.5" customHeight="1">
      <c r="A2811" s="9"/>
      <c r="B2811" s="38" t="s">
        <v>2738</v>
      </c>
      <c r="C2811" s="34" t="s">
        <v>2608</v>
      </c>
      <c r="D2811" s="14" t="s">
        <v>1834</v>
      </c>
    </row>
    <row r="2812" spans="1:4" ht="19.5" customHeight="1">
      <c r="A2812" s="9"/>
      <c r="B2812" s="24" t="s">
        <v>420</v>
      </c>
      <c r="C2812" s="30" t="s">
        <v>2609</v>
      </c>
      <c r="D2812" s="14" t="s">
        <v>422</v>
      </c>
    </row>
    <row r="2813" spans="1:4" ht="19.5" customHeight="1">
      <c r="A2813" s="9"/>
      <c r="B2813" s="24" t="s">
        <v>420</v>
      </c>
      <c r="C2813" s="30" t="s">
        <v>2739</v>
      </c>
      <c r="D2813" s="14" t="s">
        <v>422</v>
      </c>
    </row>
    <row r="2814" spans="1:4" ht="19.5" customHeight="1">
      <c r="A2814" s="9"/>
      <c r="B2814" s="24" t="s">
        <v>420</v>
      </c>
      <c r="C2814" s="30" t="s">
        <v>2609</v>
      </c>
      <c r="D2814" s="14" t="s">
        <v>422</v>
      </c>
    </row>
    <row r="2815" spans="1:4" ht="19.5" customHeight="1">
      <c r="A2815" s="9"/>
      <c r="B2815" s="38" t="s">
        <v>2740</v>
      </c>
      <c r="C2815" s="34" t="s">
        <v>2608</v>
      </c>
      <c r="D2815" s="14" t="s">
        <v>2741</v>
      </c>
    </row>
    <row r="2816" spans="1:4" ht="19.5" customHeight="1">
      <c r="A2816" s="9"/>
      <c r="B2816" s="38" t="s">
        <v>2679</v>
      </c>
      <c r="C2816" s="34" t="s">
        <v>2608</v>
      </c>
      <c r="D2816" s="14" t="s">
        <v>462</v>
      </c>
    </row>
    <row r="2817" spans="1:4" ht="19.5" customHeight="1">
      <c r="A2817" s="9"/>
      <c r="B2817" s="38" t="s">
        <v>2711</v>
      </c>
      <c r="C2817" s="36">
        <v>2</v>
      </c>
      <c r="D2817" s="14" t="s">
        <v>2377</v>
      </c>
    </row>
    <row r="2818" spans="1:4" ht="19.5" customHeight="1">
      <c r="A2818" s="9"/>
      <c r="B2818" s="38" t="s">
        <v>2691</v>
      </c>
      <c r="C2818" s="36">
        <v>1</v>
      </c>
      <c r="D2818" s="14" t="s">
        <v>2284</v>
      </c>
    </row>
    <row r="2819" spans="1:4" ht="19.5" customHeight="1">
      <c r="A2819" s="9"/>
      <c r="B2819" s="38" t="s">
        <v>2675</v>
      </c>
      <c r="C2819" s="36">
        <v>2</v>
      </c>
      <c r="D2819" s="14" t="s">
        <v>1105</v>
      </c>
    </row>
    <row r="2820" spans="1:4" ht="19.5" customHeight="1">
      <c r="A2820" s="9"/>
      <c r="B2820" s="39" t="s">
        <v>2676</v>
      </c>
      <c r="C2820" s="32">
        <v>1</v>
      </c>
      <c r="D2820" s="14" t="s">
        <v>530</v>
      </c>
    </row>
    <row r="2821" spans="1:4" ht="19.5" customHeight="1">
      <c r="A2821" s="9" t="s">
        <v>1577</v>
      </c>
      <c r="B2821" s="37" t="s">
        <v>2743</v>
      </c>
      <c r="C2821" s="34" t="s">
        <v>2608</v>
      </c>
      <c r="D2821" s="14" t="s">
        <v>1822</v>
      </c>
    </row>
    <row r="2822" spans="1:4" ht="19.5" customHeight="1">
      <c r="A2822" s="9"/>
      <c r="B2822" s="38" t="s">
        <v>2738</v>
      </c>
      <c r="C2822" s="34" t="s">
        <v>2608</v>
      </c>
      <c r="D2822" s="14" t="s">
        <v>1834</v>
      </c>
    </row>
    <row r="2823" spans="1:4" ht="19.5" customHeight="1">
      <c r="A2823" s="9"/>
      <c r="B2823" s="24" t="s">
        <v>420</v>
      </c>
      <c r="C2823" s="30" t="s">
        <v>2609</v>
      </c>
      <c r="D2823" s="14" t="s">
        <v>422</v>
      </c>
    </row>
    <row r="2824" spans="1:4" ht="19.5" customHeight="1">
      <c r="A2824" s="9"/>
      <c r="B2824" s="24" t="s">
        <v>420</v>
      </c>
      <c r="C2824" s="30" t="s">
        <v>2739</v>
      </c>
      <c r="D2824" s="14" t="s">
        <v>422</v>
      </c>
    </row>
    <row r="2825" spans="1:4" ht="19.5" customHeight="1">
      <c r="A2825" s="9"/>
      <c r="B2825" s="24" t="s">
        <v>420</v>
      </c>
      <c r="C2825" s="30" t="s">
        <v>2609</v>
      </c>
      <c r="D2825" s="14" t="s">
        <v>422</v>
      </c>
    </row>
    <row r="2826" spans="1:4" ht="19.5" customHeight="1">
      <c r="A2826" s="9"/>
      <c r="B2826" s="38" t="s">
        <v>2740</v>
      </c>
      <c r="C2826" s="34" t="s">
        <v>2608</v>
      </c>
      <c r="D2826" s="14" t="s">
        <v>2741</v>
      </c>
    </row>
    <row r="2827" spans="1:4" ht="19.5" customHeight="1">
      <c r="A2827" s="9"/>
      <c r="B2827" s="38" t="s">
        <v>2679</v>
      </c>
      <c r="C2827" s="34" t="s">
        <v>2608</v>
      </c>
      <c r="D2827" s="14" t="s">
        <v>462</v>
      </c>
    </row>
    <row r="2828" spans="1:4" ht="19.5" customHeight="1">
      <c r="A2828" s="9"/>
      <c r="B2828" s="38" t="s">
        <v>2711</v>
      </c>
      <c r="C2828" s="36">
        <v>2</v>
      </c>
      <c r="D2828" s="14" t="s">
        <v>2377</v>
      </c>
    </row>
    <row r="2829" spans="1:4" ht="19.5" customHeight="1">
      <c r="A2829" s="9"/>
      <c r="B2829" s="38" t="s">
        <v>2744</v>
      </c>
      <c r="C2829" s="36">
        <v>1</v>
      </c>
      <c r="D2829" s="14" t="s">
        <v>2293</v>
      </c>
    </row>
    <row r="2830" spans="1:4" ht="19.5" customHeight="1">
      <c r="A2830" s="9"/>
      <c r="B2830" s="38" t="s">
        <v>2675</v>
      </c>
      <c r="C2830" s="36">
        <v>2</v>
      </c>
      <c r="D2830" s="14" t="s">
        <v>1105</v>
      </c>
    </row>
    <row r="2831" spans="1:4" ht="19.5" customHeight="1">
      <c r="A2831" s="9"/>
      <c r="B2831" s="39" t="s">
        <v>2676</v>
      </c>
      <c r="C2831" s="32">
        <v>1</v>
      </c>
      <c r="D2831" s="14" t="s">
        <v>530</v>
      </c>
    </row>
    <row r="2832" spans="1:4" ht="19.5" customHeight="1">
      <c r="A2832" s="35"/>
      <c r="B2832" s="38"/>
      <c r="C2832" s="36"/>
      <c r="D2832" s="14"/>
    </row>
    <row r="2833" spans="1:4" ht="19.5" customHeight="1">
      <c r="A2833" s="35"/>
      <c r="B2833" s="38"/>
      <c r="C2833" s="36"/>
      <c r="D2833" s="14"/>
    </row>
    <row r="2834" spans="1:4" ht="19.5" customHeight="1">
      <c r="A2834" s="8" t="s">
        <v>1579</v>
      </c>
      <c r="B2834" s="37" t="s">
        <v>2737</v>
      </c>
      <c r="C2834" s="34" t="s">
        <v>2608</v>
      </c>
      <c r="D2834" s="14" t="s">
        <v>1826</v>
      </c>
    </row>
    <row r="2835" spans="1:4" ht="19.5" customHeight="1">
      <c r="A2835" s="8"/>
      <c r="B2835" s="38" t="s">
        <v>2738</v>
      </c>
      <c r="C2835" s="34" t="s">
        <v>2608</v>
      </c>
      <c r="D2835" s="14" t="s">
        <v>1834</v>
      </c>
    </row>
    <row r="2836" spans="1:4" ht="19.5" customHeight="1">
      <c r="A2836" s="8"/>
      <c r="B2836" s="24" t="s">
        <v>420</v>
      </c>
      <c r="C2836" s="30" t="s">
        <v>2609</v>
      </c>
      <c r="D2836" s="14" t="s">
        <v>422</v>
      </c>
    </row>
    <row r="2837" spans="1:4" ht="19.5" customHeight="1">
      <c r="A2837" s="8"/>
      <c r="B2837" s="24" t="s">
        <v>420</v>
      </c>
      <c r="C2837" s="30" t="s">
        <v>2739</v>
      </c>
      <c r="D2837" s="14" t="s">
        <v>422</v>
      </c>
    </row>
    <row r="2838" spans="1:4" ht="19.5" customHeight="1">
      <c r="A2838" s="8"/>
      <c r="B2838" s="24" t="s">
        <v>420</v>
      </c>
      <c r="C2838" s="30" t="s">
        <v>2609</v>
      </c>
      <c r="D2838" s="14" t="s">
        <v>422</v>
      </c>
    </row>
    <row r="2839" spans="1:4" ht="19.5" customHeight="1">
      <c r="A2839" s="8"/>
      <c r="B2839" s="38" t="s">
        <v>2740</v>
      </c>
      <c r="C2839" s="34" t="s">
        <v>2608</v>
      </c>
      <c r="D2839" s="14" t="s">
        <v>2741</v>
      </c>
    </row>
    <row r="2840" spans="1:4" ht="19.5" customHeight="1">
      <c r="A2840" s="8"/>
      <c r="B2840" s="38" t="s">
        <v>2711</v>
      </c>
      <c r="C2840" s="36">
        <v>4</v>
      </c>
      <c r="D2840" s="14" t="s">
        <v>2377</v>
      </c>
    </row>
    <row r="2841" spans="1:4" ht="19.5" customHeight="1">
      <c r="A2841" s="8"/>
      <c r="B2841" s="38" t="s">
        <v>2681</v>
      </c>
      <c r="C2841" s="36">
        <v>2</v>
      </c>
      <c r="D2841" s="14" t="s">
        <v>2745</v>
      </c>
    </row>
    <row r="2842" spans="1:4" ht="19.5" customHeight="1">
      <c r="A2842" s="8"/>
      <c r="B2842" s="38" t="s">
        <v>2675</v>
      </c>
      <c r="C2842" s="36">
        <v>4</v>
      </c>
      <c r="D2842" s="14" t="s">
        <v>1105</v>
      </c>
    </row>
    <row r="2843" spans="1:4" ht="19.5" customHeight="1">
      <c r="A2843" s="8"/>
      <c r="B2843" s="39" t="s">
        <v>2676</v>
      </c>
      <c r="C2843" s="32">
        <v>2</v>
      </c>
      <c r="D2843" s="14" t="s">
        <v>530</v>
      </c>
    </row>
    <row r="2844" spans="1:4" ht="19.5" customHeight="1">
      <c r="A2844" s="35"/>
      <c r="B2844" s="38"/>
      <c r="C2844" s="36"/>
      <c r="D2844" s="14"/>
    </row>
    <row r="2845" spans="1:4" ht="19.5" customHeight="1">
      <c r="A2845" s="35"/>
      <c r="B2845" s="38"/>
      <c r="C2845" s="36"/>
      <c r="D2845" s="14"/>
    </row>
    <row r="2846" spans="1:4" ht="19.5" customHeight="1">
      <c r="A2846" s="35"/>
      <c r="B2846" s="38"/>
      <c r="C2846" s="36"/>
      <c r="D2846" s="14"/>
    </row>
    <row r="2847" spans="1:4" ht="19.5" customHeight="1">
      <c r="A2847" s="35"/>
      <c r="B2847" s="38"/>
      <c r="C2847" s="36"/>
      <c r="D2847" s="14"/>
    </row>
    <row r="2848" spans="1:4" ht="19.5" customHeight="1">
      <c r="A2848" s="35"/>
      <c r="B2848" s="38"/>
      <c r="C2848" s="36"/>
      <c r="D2848" s="14"/>
    </row>
    <row r="2849" spans="1:4" ht="19.5" customHeight="1">
      <c r="A2849" s="8" t="s">
        <v>1581</v>
      </c>
      <c r="B2849" s="37" t="s">
        <v>2743</v>
      </c>
      <c r="C2849" s="34" t="s">
        <v>2608</v>
      </c>
      <c r="D2849" s="14" t="s">
        <v>1822</v>
      </c>
    </row>
    <row r="2850" spans="1:4" ht="19.5" customHeight="1">
      <c r="A2850" s="8"/>
      <c r="B2850" s="38" t="s">
        <v>2738</v>
      </c>
      <c r="C2850" s="34" t="s">
        <v>2608</v>
      </c>
      <c r="D2850" s="14" t="s">
        <v>1834</v>
      </c>
    </row>
    <row r="2851" spans="1:4" ht="19.5" customHeight="1">
      <c r="A2851" s="8"/>
      <c r="B2851" s="24" t="s">
        <v>420</v>
      </c>
      <c r="C2851" s="30" t="s">
        <v>2609</v>
      </c>
      <c r="D2851" s="14" t="s">
        <v>422</v>
      </c>
    </row>
    <row r="2852" spans="1:4" ht="19.5" customHeight="1">
      <c r="A2852" s="8"/>
      <c r="B2852" s="24" t="s">
        <v>420</v>
      </c>
      <c r="C2852" s="30" t="s">
        <v>2739</v>
      </c>
      <c r="D2852" s="14" t="s">
        <v>422</v>
      </c>
    </row>
    <row r="2853" spans="1:4" ht="19.5" customHeight="1">
      <c r="A2853" s="8"/>
      <c r="B2853" s="24" t="s">
        <v>420</v>
      </c>
      <c r="C2853" s="30" t="s">
        <v>2609</v>
      </c>
      <c r="D2853" s="14" t="s">
        <v>422</v>
      </c>
    </row>
    <row r="2854" spans="1:4" ht="19.5" customHeight="1">
      <c r="A2854" s="8"/>
      <c r="B2854" s="38" t="s">
        <v>2740</v>
      </c>
      <c r="C2854" s="34" t="s">
        <v>2608</v>
      </c>
      <c r="D2854" s="14" t="s">
        <v>2741</v>
      </c>
    </row>
    <row r="2855" spans="1:4" ht="19.5" customHeight="1">
      <c r="A2855" s="8"/>
      <c r="B2855" s="38" t="s">
        <v>2711</v>
      </c>
      <c r="C2855" s="36">
        <v>4</v>
      </c>
      <c r="D2855" s="14" t="s">
        <v>2377</v>
      </c>
    </row>
    <row r="2856" spans="1:4" ht="19.5" customHeight="1">
      <c r="A2856" s="8"/>
      <c r="B2856" s="38" t="s">
        <v>2681</v>
      </c>
      <c r="C2856" s="36">
        <v>2</v>
      </c>
      <c r="D2856" s="14" t="s">
        <v>2745</v>
      </c>
    </row>
    <row r="2857" spans="1:4" ht="19.5" customHeight="1">
      <c r="A2857" s="8"/>
      <c r="B2857" s="38" t="s">
        <v>2675</v>
      </c>
      <c r="C2857" s="36">
        <v>4</v>
      </c>
      <c r="D2857" s="14" t="s">
        <v>1105</v>
      </c>
    </row>
    <row r="2858" spans="1:4" ht="19.5" customHeight="1">
      <c r="A2858" s="8"/>
      <c r="B2858" s="39" t="s">
        <v>2676</v>
      </c>
      <c r="C2858" s="32">
        <v>2</v>
      </c>
      <c r="D2858" s="14" t="s">
        <v>530</v>
      </c>
    </row>
    <row r="2859" spans="1:4" ht="19.5" customHeight="1">
      <c r="A2859" s="8" t="s">
        <v>1583</v>
      </c>
      <c r="B2859" s="37" t="s">
        <v>2737</v>
      </c>
      <c r="C2859" s="34" t="s">
        <v>2608</v>
      </c>
      <c r="D2859" s="14" t="s">
        <v>1826</v>
      </c>
    </row>
    <row r="2860" spans="1:4" ht="19.5" customHeight="1">
      <c r="A2860" s="8"/>
      <c r="B2860" s="38" t="s">
        <v>2746</v>
      </c>
      <c r="C2860" s="34" t="s">
        <v>2608</v>
      </c>
      <c r="D2860" s="14" t="s">
        <v>1842</v>
      </c>
    </row>
    <row r="2861" spans="1:4" ht="19.5" customHeight="1">
      <c r="A2861" s="8"/>
      <c r="B2861" s="24" t="s">
        <v>420</v>
      </c>
      <c r="C2861" s="30" t="s">
        <v>2739</v>
      </c>
      <c r="D2861" s="14" t="s">
        <v>422</v>
      </c>
    </row>
    <row r="2862" spans="1:4" ht="19.5" customHeight="1">
      <c r="A2862" s="8"/>
      <c r="B2862" s="24" t="s">
        <v>420</v>
      </c>
      <c r="C2862" s="30" t="s">
        <v>2609</v>
      </c>
      <c r="D2862" s="14" t="s">
        <v>422</v>
      </c>
    </row>
    <row r="2863" spans="1:4" ht="19.5" customHeight="1">
      <c r="A2863" s="8"/>
      <c r="B2863" s="24" t="s">
        <v>420</v>
      </c>
      <c r="C2863" s="30" t="s">
        <v>2609</v>
      </c>
      <c r="D2863" s="14" t="s">
        <v>422</v>
      </c>
    </row>
    <row r="2864" spans="1:4" ht="19.5" customHeight="1">
      <c r="A2864" s="8"/>
      <c r="B2864" s="24" t="s">
        <v>2711</v>
      </c>
      <c r="C2864" s="36">
        <v>2</v>
      </c>
      <c r="D2864" s="14" t="s">
        <v>2377</v>
      </c>
    </row>
    <row r="2865" spans="1:4" ht="19.5" customHeight="1">
      <c r="A2865" s="8"/>
      <c r="B2865" s="38" t="s">
        <v>2744</v>
      </c>
      <c r="C2865" s="36">
        <v>1</v>
      </c>
      <c r="D2865" s="14" t="s">
        <v>2293</v>
      </c>
    </row>
    <row r="2866" spans="1:4" ht="19.5" customHeight="1">
      <c r="A2866" s="8"/>
      <c r="B2866" s="38" t="s">
        <v>2675</v>
      </c>
      <c r="C2866" s="36">
        <v>2</v>
      </c>
      <c r="D2866" s="14" t="s">
        <v>1105</v>
      </c>
    </row>
    <row r="2867" spans="1:4" ht="19.5" customHeight="1">
      <c r="A2867" s="8"/>
      <c r="B2867" s="39" t="s">
        <v>2676</v>
      </c>
      <c r="C2867" s="32">
        <v>1</v>
      </c>
      <c r="D2867" s="14" t="s">
        <v>530</v>
      </c>
    </row>
    <row r="2868" spans="1:4" ht="19.5" customHeight="1">
      <c r="A2868" s="8" t="s">
        <v>1585</v>
      </c>
      <c r="B2868" s="37" t="s">
        <v>2743</v>
      </c>
      <c r="C2868" s="34" t="s">
        <v>2608</v>
      </c>
      <c r="D2868" s="14" t="s">
        <v>1822</v>
      </c>
    </row>
    <row r="2869" spans="1:4" ht="19.5" customHeight="1">
      <c r="A2869" s="8"/>
      <c r="B2869" s="38" t="s">
        <v>2746</v>
      </c>
      <c r="C2869" s="34" t="s">
        <v>2608</v>
      </c>
      <c r="D2869" s="14" t="s">
        <v>1842</v>
      </c>
    </row>
    <row r="2870" spans="1:4" ht="15" customHeight="1">
      <c r="A2870" s="8"/>
      <c r="B2870" s="24" t="s">
        <v>420</v>
      </c>
      <c r="C2870" s="30" t="s">
        <v>2609</v>
      </c>
      <c r="D2870" s="14" t="s">
        <v>422</v>
      </c>
    </row>
    <row r="2871" spans="1:4" ht="15" customHeight="1">
      <c r="A2871" s="8"/>
      <c r="B2871" s="24" t="s">
        <v>420</v>
      </c>
      <c r="C2871" s="30" t="s">
        <v>2739</v>
      </c>
      <c r="D2871" s="14" t="s">
        <v>422</v>
      </c>
    </row>
    <row r="2872" spans="1:4" ht="15" customHeight="1">
      <c r="A2872" s="8"/>
      <c r="B2872" s="24" t="s">
        <v>420</v>
      </c>
      <c r="C2872" s="30" t="s">
        <v>2609</v>
      </c>
      <c r="D2872" s="14" t="s">
        <v>422</v>
      </c>
    </row>
    <row r="2873" spans="1:4" ht="15" customHeight="1">
      <c r="A2873" s="8"/>
      <c r="B2873" s="38" t="s">
        <v>2740</v>
      </c>
      <c r="C2873" s="34" t="s">
        <v>2608</v>
      </c>
      <c r="D2873" s="14" t="s">
        <v>2741</v>
      </c>
    </row>
    <row r="2874" spans="1:4" ht="15" customHeight="1">
      <c r="A2874" s="8"/>
      <c r="B2874" s="38" t="s">
        <v>2711</v>
      </c>
      <c r="C2874" s="36">
        <v>2</v>
      </c>
      <c r="D2874" s="14" t="s">
        <v>2377</v>
      </c>
    </row>
    <row r="2875" spans="1:4" ht="15" customHeight="1">
      <c r="A2875" s="8"/>
      <c r="B2875" s="38" t="s">
        <v>2744</v>
      </c>
      <c r="C2875" s="36">
        <v>1</v>
      </c>
      <c r="D2875" s="14" t="s">
        <v>2293</v>
      </c>
    </row>
    <row r="2876" spans="1:4" ht="15" customHeight="1">
      <c r="A2876" s="8"/>
      <c r="B2876" s="38" t="s">
        <v>2675</v>
      </c>
      <c r="C2876" s="36">
        <v>2</v>
      </c>
      <c r="D2876" s="14" t="s">
        <v>1105</v>
      </c>
    </row>
    <row r="2877" spans="1:4" ht="19.5" customHeight="1">
      <c r="A2877" s="8"/>
      <c r="B2877" s="39" t="s">
        <v>2676</v>
      </c>
      <c r="C2877" s="32">
        <v>1</v>
      </c>
      <c r="D2877" s="14" t="s">
        <v>530</v>
      </c>
    </row>
    <row r="2878" spans="1:4" ht="19.5" customHeight="1">
      <c r="A2878" s="8" t="s">
        <v>1587</v>
      </c>
      <c r="B2878" s="37" t="s">
        <v>2737</v>
      </c>
      <c r="C2878" s="34" t="s">
        <v>2608</v>
      </c>
      <c r="D2878" s="14" t="s">
        <v>1826</v>
      </c>
    </row>
    <row r="2879" spans="1:4" ht="19.5" customHeight="1">
      <c r="A2879" s="8"/>
      <c r="B2879" s="38" t="s">
        <v>2746</v>
      </c>
      <c r="C2879" s="34" t="s">
        <v>2608</v>
      </c>
      <c r="D2879" s="14" t="s">
        <v>1842</v>
      </c>
    </row>
    <row r="2880" spans="1:4" ht="19.5" customHeight="1">
      <c r="A2880" s="8"/>
      <c r="B2880" s="24" t="s">
        <v>420</v>
      </c>
      <c r="C2880" s="30" t="s">
        <v>2609</v>
      </c>
      <c r="D2880" s="14" t="s">
        <v>422</v>
      </c>
    </row>
    <row r="2881" spans="1:4" ht="19.5" customHeight="1">
      <c r="A2881" s="8"/>
      <c r="B2881" s="24" t="s">
        <v>420</v>
      </c>
      <c r="C2881" s="30" t="s">
        <v>2739</v>
      </c>
      <c r="D2881" s="14" t="s">
        <v>422</v>
      </c>
    </row>
    <row r="2882" spans="1:4" ht="19.5" customHeight="1">
      <c r="A2882" s="8"/>
      <c r="B2882" s="24" t="s">
        <v>420</v>
      </c>
      <c r="C2882" s="30" t="s">
        <v>2609</v>
      </c>
      <c r="D2882" s="14" t="s">
        <v>422</v>
      </c>
    </row>
    <row r="2883" spans="1:4" ht="19.5" customHeight="1">
      <c r="A2883" s="8"/>
      <c r="B2883" s="38" t="s">
        <v>2740</v>
      </c>
      <c r="C2883" s="34" t="s">
        <v>2608</v>
      </c>
      <c r="D2883" s="14" t="s">
        <v>2741</v>
      </c>
    </row>
    <row r="2884" spans="1:4" ht="19.5" customHeight="1">
      <c r="A2884" s="8"/>
      <c r="B2884" s="38" t="s">
        <v>2679</v>
      </c>
      <c r="C2884" s="34" t="s">
        <v>2608</v>
      </c>
      <c r="D2884" s="14" t="s">
        <v>462</v>
      </c>
    </row>
    <row r="2885" spans="1:4" ht="19.5" customHeight="1">
      <c r="A2885" s="8"/>
      <c r="B2885" s="38" t="s">
        <v>2711</v>
      </c>
      <c r="C2885" s="36">
        <v>2</v>
      </c>
      <c r="D2885" s="14" t="s">
        <v>2377</v>
      </c>
    </row>
    <row r="2886" spans="1:4" ht="19.5" customHeight="1">
      <c r="A2886" s="8"/>
      <c r="B2886" s="38" t="s">
        <v>2744</v>
      </c>
      <c r="C2886" s="36">
        <v>1</v>
      </c>
      <c r="D2886" s="14" t="s">
        <v>2293</v>
      </c>
    </row>
    <row r="2887" spans="1:4" ht="19.5" customHeight="1">
      <c r="A2887" s="8"/>
      <c r="B2887" s="38" t="s">
        <v>2675</v>
      </c>
      <c r="C2887" s="36">
        <v>2</v>
      </c>
      <c r="D2887" s="14" t="s">
        <v>1105</v>
      </c>
    </row>
    <row r="2888" spans="1:4" ht="19.5" customHeight="1">
      <c r="A2888" s="8"/>
      <c r="B2888" s="39" t="s">
        <v>2676</v>
      </c>
      <c r="C2888" s="32">
        <v>1</v>
      </c>
      <c r="D2888" s="14" t="s">
        <v>530</v>
      </c>
    </row>
    <row r="2889" spans="1:4" ht="19.5" customHeight="1">
      <c r="A2889" s="35"/>
      <c r="B2889" s="38"/>
      <c r="C2889" s="36"/>
      <c r="D2889" s="14"/>
    </row>
    <row r="2890" spans="1:4" ht="19.5" customHeight="1">
      <c r="A2890" s="35"/>
      <c r="B2890" s="38"/>
      <c r="C2890" s="36"/>
      <c r="D2890" s="14"/>
    </row>
    <row r="2891" spans="1:4" ht="19.5" customHeight="1">
      <c r="A2891" s="8" t="s">
        <v>1589</v>
      </c>
      <c r="B2891" s="37" t="s">
        <v>2743</v>
      </c>
      <c r="C2891" s="34" t="s">
        <v>2608</v>
      </c>
      <c r="D2891" s="14" t="s">
        <v>1822</v>
      </c>
    </row>
    <row r="2892" spans="1:4" ht="19.5" customHeight="1">
      <c r="A2892" s="8"/>
      <c r="B2892" s="38" t="s">
        <v>2746</v>
      </c>
      <c r="C2892" s="34" t="s">
        <v>2608</v>
      </c>
      <c r="D2892" s="14" t="s">
        <v>1842</v>
      </c>
    </row>
    <row r="2893" spans="1:4" ht="19.5" customHeight="1">
      <c r="A2893" s="8"/>
      <c r="B2893" s="24" t="s">
        <v>420</v>
      </c>
      <c r="C2893" s="30" t="s">
        <v>2739</v>
      </c>
      <c r="D2893" s="14" t="s">
        <v>422</v>
      </c>
    </row>
    <row r="2894" spans="1:4" ht="19.5" customHeight="1">
      <c r="A2894" s="8"/>
      <c r="B2894" s="24" t="s">
        <v>420</v>
      </c>
      <c r="C2894" s="30" t="s">
        <v>2609</v>
      </c>
      <c r="D2894" s="14" t="s">
        <v>422</v>
      </c>
    </row>
    <row r="2895" spans="1:4" ht="19.5" customHeight="1">
      <c r="A2895" s="8"/>
      <c r="B2895" s="24" t="s">
        <v>420</v>
      </c>
      <c r="C2895" s="30" t="s">
        <v>2609</v>
      </c>
      <c r="D2895" s="14" t="s">
        <v>422</v>
      </c>
    </row>
    <row r="2896" spans="1:4" ht="19.5" customHeight="1">
      <c r="A2896" s="8"/>
      <c r="B2896" s="38" t="s">
        <v>2740</v>
      </c>
      <c r="C2896" s="34" t="s">
        <v>2608</v>
      </c>
      <c r="D2896" s="14" t="s">
        <v>2741</v>
      </c>
    </row>
    <row r="2897" spans="1:4" ht="19.5" customHeight="1">
      <c r="A2897" s="8"/>
      <c r="B2897" s="38" t="s">
        <v>2679</v>
      </c>
      <c r="C2897" s="34" t="s">
        <v>2608</v>
      </c>
      <c r="D2897" s="14" t="s">
        <v>462</v>
      </c>
    </row>
    <row r="2898" spans="1:4" ht="19.5" customHeight="1">
      <c r="A2898" s="8"/>
      <c r="B2898" s="38" t="s">
        <v>2711</v>
      </c>
      <c r="C2898" s="36">
        <v>2</v>
      </c>
      <c r="D2898" s="14" t="s">
        <v>2377</v>
      </c>
    </row>
    <row r="2899" spans="1:4" ht="19.5" customHeight="1">
      <c r="A2899" s="8"/>
      <c r="B2899" s="38" t="s">
        <v>2744</v>
      </c>
      <c r="C2899" s="36">
        <v>1</v>
      </c>
      <c r="D2899" s="14" t="s">
        <v>2293</v>
      </c>
    </row>
    <row r="2900" spans="1:4" ht="19.5" customHeight="1">
      <c r="A2900" s="8"/>
      <c r="B2900" s="38" t="s">
        <v>2675</v>
      </c>
      <c r="C2900" s="36">
        <v>2</v>
      </c>
      <c r="D2900" s="14" t="s">
        <v>1105</v>
      </c>
    </row>
    <row r="2901" spans="1:4" ht="19.5" customHeight="1">
      <c r="A2901" s="8"/>
      <c r="B2901" s="39" t="s">
        <v>2676</v>
      </c>
      <c r="C2901" s="32">
        <v>1</v>
      </c>
      <c r="D2901" s="14" t="s">
        <v>530</v>
      </c>
    </row>
    <row r="2902" spans="1:4" ht="19.5" customHeight="1">
      <c r="A2902" s="35"/>
      <c r="B2902" s="38"/>
      <c r="C2902" s="36"/>
      <c r="D2902" s="14"/>
    </row>
    <row r="2903" spans="1:4" ht="19.5" customHeight="1">
      <c r="A2903" s="8" t="s">
        <v>1591</v>
      </c>
      <c r="B2903" s="37" t="s">
        <v>2737</v>
      </c>
      <c r="C2903" s="34" t="s">
        <v>2608</v>
      </c>
      <c r="D2903" s="14" t="s">
        <v>1826</v>
      </c>
    </row>
    <row r="2904" spans="1:4" ht="19.5" customHeight="1">
      <c r="A2904" s="8"/>
      <c r="B2904" s="38" t="s">
        <v>2746</v>
      </c>
      <c r="C2904" s="34" t="s">
        <v>2608</v>
      </c>
      <c r="D2904" s="14" t="s">
        <v>1842</v>
      </c>
    </row>
    <row r="2905" spans="1:4" ht="19.5" customHeight="1">
      <c r="A2905" s="8"/>
      <c r="B2905" s="24" t="s">
        <v>420</v>
      </c>
      <c r="C2905" s="30" t="s">
        <v>2739</v>
      </c>
      <c r="D2905" s="14" t="s">
        <v>422</v>
      </c>
    </row>
    <row r="2906" spans="1:4" ht="19.5" customHeight="1">
      <c r="A2906" s="8"/>
      <c r="B2906" s="24" t="s">
        <v>420</v>
      </c>
      <c r="C2906" s="30" t="s">
        <v>2609</v>
      </c>
      <c r="D2906" s="14" t="s">
        <v>422</v>
      </c>
    </row>
    <row r="2907" spans="1:4" ht="19.5" customHeight="1">
      <c r="A2907" s="8"/>
      <c r="B2907" s="24" t="s">
        <v>420</v>
      </c>
      <c r="C2907" s="30" t="s">
        <v>2609</v>
      </c>
      <c r="D2907" s="14" t="s">
        <v>422</v>
      </c>
    </row>
    <row r="2908" spans="1:4" ht="19.5" customHeight="1">
      <c r="A2908" s="8"/>
      <c r="B2908" s="38" t="s">
        <v>2740</v>
      </c>
      <c r="C2908" s="34" t="s">
        <v>2608</v>
      </c>
      <c r="D2908" s="14" t="s">
        <v>2741</v>
      </c>
    </row>
    <row r="2909" spans="1:4" ht="19.5" customHeight="1">
      <c r="A2909" s="8"/>
      <c r="B2909" s="38" t="s">
        <v>2711</v>
      </c>
      <c r="C2909" s="36">
        <v>4</v>
      </c>
      <c r="D2909" s="14" t="s">
        <v>2377</v>
      </c>
    </row>
    <row r="2910" spans="1:4" ht="19.5" customHeight="1">
      <c r="A2910" s="8"/>
      <c r="B2910" s="38" t="s">
        <v>2681</v>
      </c>
      <c r="C2910" s="36">
        <v>2</v>
      </c>
      <c r="D2910" s="14" t="s">
        <v>2745</v>
      </c>
    </row>
    <row r="2911" spans="1:4" ht="19.5" customHeight="1">
      <c r="A2911" s="8"/>
      <c r="B2911" s="38" t="s">
        <v>2675</v>
      </c>
      <c r="C2911" s="36">
        <v>4</v>
      </c>
      <c r="D2911" s="14" t="s">
        <v>1105</v>
      </c>
    </row>
    <row r="2912" spans="1:4" ht="19.5" customHeight="1">
      <c r="A2912" s="8"/>
      <c r="B2912" s="39" t="s">
        <v>2676</v>
      </c>
      <c r="C2912" s="32">
        <v>2</v>
      </c>
      <c r="D2912" s="14" t="s">
        <v>530</v>
      </c>
    </row>
    <row r="2913" spans="1:4" ht="19.5" customHeight="1">
      <c r="A2913" s="8" t="s">
        <v>1593</v>
      </c>
      <c r="B2913" s="37" t="s">
        <v>2743</v>
      </c>
      <c r="C2913" s="34" t="s">
        <v>2608</v>
      </c>
      <c r="D2913" s="14" t="s">
        <v>1822</v>
      </c>
    </row>
    <row r="2914" spans="1:4" ht="19.5" customHeight="1">
      <c r="A2914" s="8"/>
      <c r="B2914" s="38" t="s">
        <v>2746</v>
      </c>
      <c r="C2914" s="34" t="s">
        <v>2608</v>
      </c>
      <c r="D2914" s="14" t="s">
        <v>1842</v>
      </c>
    </row>
    <row r="2915" spans="1:4" ht="15" customHeight="1">
      <c r="A2915" s="8"/>
      <c r="B2915" s="24" t="s">
        <v>420</v>
      </c>
      <c r="C2915" s="30" t="s">
        <v>2739</v>
      </c>
      <c r="D2915" s="14" t="s">
        <v>422</v>
      </c>
    </row>
    <row r="2916" spans="1:4" ht="19.5" customHeight="1">
      <c r="A2916" s="8"/>
      <c r="B2916" s="24" t="s">
        <v>420</v>
      </c>
      <c r="C2916" s="30" t="s">
        <v>2609</v>
      </c>
      <c r="D2916" s="14" t="s">
        <v>422</v>
      </c>
    </row>
    <row r="2917" spans="1:4" ht="17.25" customHeight="1">
      <c r="A2917" s="8"/>
      <c r="B2917" s="24" t="s">
        <v>420</v>
      </c>
      <c r="C2917" s="30" t="s">
        <v>2609</v>
      </c>
      <c r="D2917" s="14" t="s">
        <v>422</v>
      </c>
    </row>
    <row r="2918" spans="1:4" ht="16.5" customHeight="1">
      <c r="A2918" s="8"/>
      <c r="B2918" s="38" t="s">
        <v>2740</v>
      </c>
      <c r="C2918" s="34" t="s">
        <v>2608</v>
      </c>
      <c r="D2918" s="14" t="s">
        <v>2741</v>
      </c>
    </row>
    <row r="2919" spans="1:4" ht="19.5" customHeight="1">
      <c r="A2919" s="8"/>
      <c r="B2919" s="38" t="s">
        <v>2711</v>
      </c>
      <c r="C2919" s="36">
        <v>4</v>
      </c>
      <c r="D2919" s="14" t="s">
        <v>2377</v>
      </c>
    </row>
    <row r="2920" spans="1:4" ht="17.25" customHeight="1">
      <c r="A2920" s="8"/>
      <c r="B2920" s="38" t="s">
        <v>2681</v>
      </c>
      <c r="C2920" s="36">
        <v>2</v>
      </c>
      <c r="D2920" s="14" t="s">
        <v>2745</v>
      </c>
    </row>
    <row r="2921" spans="1:4" ht="19.5" customHeight="1">
      <c r="A2921" s="8"/>
      <c r="B2921" s="38" t="s">
        <v>2675</v>
      </c>
      <c r="C2921" s="36">
        <v>4</v>
      </c>
      <c r="D2921" s="14" t="s">
        <v>1105</v>
      </c>
    </row>
    <row r="2922" spans="1:4" ht="15" customHeight="1">
      <c r="A2922" s="8"/>
      <c r="B2922" s="39" t="s">
        <v>2676</v>
      </c>
      <c r="C2922" s="32">
        <v>2</v>
      </c>
      <c r="D2922" s="14" t="s">
        <v>530</v>
      </c>
    </row>
    <row r="2923" spans="1:4" ht="15" customHeight="1">
      <c r="A2923" s="35"/>
      <c r="B2923" s="38"/>
      <c r="C2923" s="36"/>
      <c r="D2923" s="14"/>
    </row>
    <row r="2924" spans="1:4" ht="15" customHeight="1">
      <c r="A2924" s="35"/>
      <c r="B2924" s="38"/>
      <c r="C2924" s="36"/>
      <c r="D2924" s="14"/>
    </row>
    <row r="2925" spans="1:4" ht="15" customHeight="1">
      <c r="A2925" s="35"/>
      <c r="B2925" s="38"/>
      <c r="C2925" s="36"/>
      <c r="D2925" s="14"/>
    </row>
    <row r="2926" spans="1:4" ht="15" customHeight="1">
      <c r="A2926" s="35"/>
      <c r="B2926" s="38"/>
      <c r="C2926" s="36"/>
      <c r="D2926" s="14"/>
    </row>
    <row r="2927" spans="1:4" ht="15" customHeight="1">
      <c r="A2927" s="35"/>
      <c r="B2927" s="38"/>
      <c r="C2927" s="36"/>
      <c r="D2927" s="14"/>
    </row>
    <row r="2928" spans="1:4" ht="15" customHeight="1">
      <c r="A2928" s="35"/>
      <c r="B2928" s="38"/>
      <c r="C2928" s="36"/>
      <c r="D2928" s="14"/>
    </row>
    <row r="2929" spans="1:4" ht="15" customHeight="1">
      <c r="A2929" s="35"/>
      <c r="B2929" s="38"/>
      <c r="C2929" s="36"/>
      <c r="D2929" s="14"/>
    </row>
    <row r="2930" spans="1:4" ht="15" customHeight="1">
      <c r="A2930" s="35"/>
      <c r="B2930" s="38"/>
      <c r="C2930" s="36"/>
      <c r="D2930" s="14"/>
    </row>
    <row r="2931" spans="1:4" ht="15" customHeight="1">
      <c r="A2931" s="8" t="s">
        <v>1595</v>
      </c>
      <c r="B2931" s="37" t="s">
        <v>2737</v>
      </c>
      <c r="C2931" s="34" t="s">
        <v>2608</v>
      </c>
      <c r="D2931" s="14" t="s">
        <v>1826</v>
      </c>
    </row>
    <row r="2932" spans="1:4" ht="15" customHeight="1">
      <c r="A2932" s="8"/>
      <c r="B2932" s="38" t="s">
        <v>2738</v>
      </c>
      <c r="C2932" s="34" t="s">
        <v>2608</v>
      </c>
      <c r="D2932" s="14" t="s">
        <v>1834</v>
      </c>
    </row>
    <row r="2933" spans="1:4" ht="15" customHeight="1">
      <c r="A2933" s="8"/>
      <c r="B2933" s="24" t="s">
        <v>420</v>
      </c>
      <c r="C2933" s="30" t="s">
        <v>2609</v>
      </c>
      <c r="D2933" s="14" t="s">
        <v>422</v>
      </c>
    </row>
    <row r="2934" spans="1:4" ht="15" customHeight="1">
      <c r="A2934" s="8"/>
      <c r="B2934" s="24" t="s">
        <v>420</v>
      </c>
      <c r="C2934" s="30" t="s">
        <v>2609</v>
      </c>
      <c r="D2934" s="14" t="s">
        <v>422</v>
      </c>
    </row>
    <row r="2935" spans="1:4" ht="15" customHeight="1">
      <c r="A2935" s="8"/>
      <c r="B2935" s="24" t="s">
        <v>420</v>
      </c>
      <c r="C2935" s="30" t="s">
        <v>2739</v>
      </c>
      <c r="D2935" s="14" t="s">
        <v>422</v>
      </c>
    </row>
    <row r="2936" spans="1:4" ht="15" customHeight="1">
      <c r="A2936" s="8"/>
      <c r="B2936" s="24" t="s">
        <v>420</v>
      </c>
      <c r="C2936" s="30" t="s">
        <v>2609</v>
      </c>
      <c r="D2936" s="14" t="s">
        <v>422</v>
      </c>
    </row>
    <row r="2937" spans="1:4" ht="15" customHeight="1">
      <c r="A2937" s="8"/>
      <c r="B2937" s="38" t="s">
        <v>2740</v>
      </c>
      <c r="C2937" s="34" t="s">
        <v>2608</v>
      </c>
      <c r="D2937" s="14" t="s">
        <v>2741</v>
      </c>
    </row>
    <row r="2938" spans="1:4" ht="15" customHeight="1">
      <c r="A2938" s="8"/>
      <c r="B2938" s="38" t="s">
        <v>2685</v>
      </c>
      <c r="C2938" s="34" t="s">
        <v>2608</v>
      </c>
      <c r="D2938" s="14" t="s">
        <v>438</v>
      </c>
    </row>
    <row r="2939" spans="1:4" ht="15" customHeight="1">
      <c r="A2939" s="8"/>
      <c r="B2939" s="38" t="s">
        <v>2711</v>
      </c>
      <c r="C2939" s="36">
        <v>4</v>
      </c>
      <c r="D2939" s="14" t="s">
        <v>2377</v>
      </c>
    </row>
    <row r="2940" spans="1:4" ht="15" customHeight="1">
      <c r="A2940" s="8"/>
      <c r="B2940" s="38" t="s">
        <v>2747</v>
      </c>
      <c r="C2940" s="36">
        <v>1</v>
      </c>
      <c r="D2940" s="14" t="s">
        <v>2595</v>
      </c>
    </row>
    <row r="2941" spans="1:4" ht="15" customHeight="1">
      <c r="A2941" s="8"/>
      <c r="B2941" s="38" t="s">
        <v>2744</v>
      </c>
      <c r="C2941" s="36">
        <v>1</v>
      </c>
      <c r="D2941" s="14" t="s">
        <v>2293</v>
      </c>
    </row>
    <row r="2942" spans="1:4" ht="15" customHeight="1">
      <c r="A2942" s="8"/>
      <c r="B2942" s="38" t="s">
        <v>2687</v>
      </c>
      <c r="C2942" s="36">
        <v>2</v>
      </c>
      <c r="D2942" s="14" t="s">
        <v>1103</v>
      </c>
    </row>
    <row r="2943" spans="1:4" ht="19.5" customHeight="1">
      <c r="A2943" s="8"/>
      <c r="B2943" s="38" t="s">
        <v>2748</v>
      </c>
      <c r="C2943" s="36">
        <v>2</v>
      </c>
      <c r="D2943" s="14" t="s">
        <v>1117</v>
      </c>
    </row>
    <row r="2944" spans="1:4" ht="15" customHeight="1">
      <c r="A2944" s="8"/>
      <c r="B2944" s="38" t="s">
        <v>2749</v>
      </c>
      <c r="C2944" s="36">
        <v>2</v>
      </c>
      <c r="D2944" s="14" t="s">
        <v>1119</v>
      </c>
    </row>
    <row r="2945" spans="1:4" ht="15" customHeight="1">
      <c r="A2945" s="8"/>
      <c r="B2945" s="39" t="s">
        <v>2676</v>
      </c>
      <c r="C2945" s="32">
        <v>1</v>
      </c>
      <c r="D2945" s="14" t="s">
        <v>530</v>
      </c>
    </row>
    <row r="2946" spans="1:4" ht="15" customHeight="1">
      <c r="A2946" s="35"/>
      <c r="B2946" s="38"/>
      <c r="C2946" s="36"/>
      <c r="D2946" s="14"/>
    </row>
    <row r="2947" spans="1:4" ht="19.5" customHeight="1">
      <c r="A2947" s="8" t="s">
        <v>1597</v>
      </c>
      <c r="B2947" s="37" t="s">
        <v>2743</v>
      </c>
      <c r="C2947" s="34" t="s">
        <v>2608</v>
      </c>
      <c r="D2947" s="14" t="s">
        <v>1822</v>
      </c>
    </row>
    <row r="2948" spans="1:4" ht="19.5" customHeight="1">
      <c r="A2948" s="8"/>
      <c r="B2948" s="38" t="s">
        <v>2738</v>
      </c>
      <c r="C2948" s="34" t="s">
        <v>2608</v>
      </c>
      <c r="D2948" s="14" t="s">
        <v>1834</v>
      </c>
    </row>
    <row r="2949" spans="1:4" ht="19.5" customHeight="1">
      <c r="A2949" s="8"/>
      <c r="B2949" s="24" t="s">
        <v>420</v>
      </c>
      <c r="C2949" s="30" t="s">
        <v>2609</v>
      </c>
      <c r="D2949" s="14" t="s">
        <v>422</v>
      </c>
    </row>
    <row r="2950" spans="1:4" ht="19.5" customHeight="1">
      <c r="A2950" s="8"/>
      <c r="B2950" s="24" t="s">
        <v>420</v>
      </c>
      <c r="C2950" s="30" t="s">
        <v>2739</v>
      </c>
      <c r="D2950" s="14" t="s">
        <v>422</v>
      </c>
    </row>
    <row r="2951" spans="1:4" ht="19.5" customHeight="1">
      <c r="A2951" s="8"/>
      <c r="B2951" s="24" t="s">
        <v>420</v>
      </c>
      <c r="C2951" s="30" t="s">
        <v>2609</v>
      </c>
      <c r="D2951" s="14" t="s">
        <v>422</v>
      </c>
    </row>
    <row r="2952" spans="1:4" ht="19.5" customHeight="1">
      <c r="A2952" s="8"/>
      <c r="B2952" s="24" t="s">
        <v>420</v>
      </c>
      <c r="C2952" s="30" t="s">
        <v>2609</v>
      </c>
      <c r="D2952" s="14" t="s">
        <v>422</v>
      </c>
    </row>
    <row r="2953" spans="1:4" ht="19.5" customHeight="1">
      <c r="A2953" s="8"/>
      <c r="B2953" s="38" t="s">
        <v>2740</v>
      </c>
      <c r="C2953" s="34" t="s">
        <v>2608</v>
      </c>
      <c r="D2953" s="14" t="s">
        <v>2741</v>
      </c>
    </row>
    <row r="2954" spans="1:4" ht="19.5" customHeight="1">
      <c r="A2954" s="8"/>
      <c r="B2954" s="38" t="s">
        <v>2685</v>
      </c>
      <c r="C2954" s="34" t="s">
        <v>2608</v>
      </c>
      <c r="D2954" s="14" t="s">
        <v>438</v>
      </c>
    </row>
    <row r="2955" spans="1:4" ht="15" customHeight="1">
      <c r="A2955" s="8"/>
      <c r="B2955" s="38" t="s">
        <v>2711</v>
      </c>
      <c r="C2955" s="36">
        <v>4</v>
      </c>
      <c r="D2955" s="14" t="s">
        <v>2377</v>
      </c>
    </row>
    <row r="2956" spans="1:4" ht="19.5" customHeight="1">
      <c r="A2956" s="8"/>
      <c r="B2956" s="38" t="s">
        <v>2747</v>
      </c>
      <c r="C2956" s="36">
        <v>1</v>
      </c>
      <c r="D2956" s="14" t="s">
        <v>2595</v>
      </c>
    </row>
    <row r="2957" spans="1:4" ht="19.5" customHeight="1">
      <c r="A2957" s="8"/>
      <c r="B2957" s="38" t="s">
        <v>2744</v>
      </c>
      <c r="C2957" s="36">
        <v>1</v>
      </c>
      <c r="D2957" s="14" t="s">
        <v>2293</v>
      </c>
    </row>
    <row r="2958" spans="1:4" ht="15" customHeight="1">
      <c r="A2958" s="8"/>
      <c r="B2958" s="38" t="s">
        <v>2748</v>
      </c>
      <c r="C2958" s="36">
        <v>2</v>
      </c>
      <c r="D2958" s="14" t="s">
        <v>1117</v>
      </c>
    </row>
    <row r="2959" spans="1:4" ht="15.75" customHeight="1">
      <c r="A2959" s="8"/>
      <c r="B2959" s="38" t="s">
        <v>2749</v>
      </c>
      <c r="C2959" s="36">
        <v>2</v>
      </c>
      <c r="D2959" s="14" t="s">
        <v>1119</v>
      </c>
    </row>
    <row r="2960" spans="1:4" ht="15" customHeight="1">
      <c r="A2960" s="8"/>
      <c r="B2960" s="38" t="s">
        <v>2687</v>
      </c>
      <c r="C2960" s="36">
        <v>2</v>
      </c>
      <c r="D2960" s="14" t="s">
        <v>1103</v>
      </c>
    </row>
    <row r="2961" spans="1:4" ht="15" customHeight="1">
      <c r="A2961" s="8"/>
      <c r="B2961" s="39" t="s">
        <v>2676</v>
      </c>
      <c r="C2961" s="32">
        <v>1</v>
      </c>
      <c r="D2961" s="14" t="s">
        <v>530</v>
      </c>
    </row>
    <row r="2962" spans="1:4" ht="19.5" customHeight="1">
      <c r="A2962" s="8" t="s">
        <v>1599</v>
      </c>
      <c r="B2962" s="37" t="s">
        <v>2737</v>
      </c>
      <c r="C2962" s="34" t="s">
        <v>2608</v>
      </c>
      <c r="D2962" s="14" t="s">
        <v>1826</v>
      </c>
    </row>
    <row r="2963" spans="1:4" ht="19.5" customHeight="1">
      <c r="A2963" s="8"/>
      <c r="B2963" s="38" t="s">
        <v>2738</v>
      </c>
      <c r="C2963" s="34" t="s">
        <v>2608</v>
      </c>
      <c r="D2963" s="14" t="s">
        <v>1834</v>
      </c>
    </row>
    <row r="2964" spans="1:4" ht="19.5" customHeight="1">
      <c r="A2964" s="8"/>
      <c r="B2964" s="24" t="s">
        <v>420</v>
      </c>
      <c r="C2964" s="30" t="s">
        <v>2609</v>
      </c>
      <c r="D2964" s="14" t="s">
        <v>422</v>
      </c>
    </row>
    <row r="2965" spans="1:4" ht="19.5" customHeight="1">
      <c r="A2965" s="8"/>
      <c r="B2965" s="24" t="s">
        <v>420</v>
      </c>
      <c r="C2965" s="30" t="s">
        <v>2739</v>
      </c>
      <c r="D2965" s="14" t="s">
        <v>422</v>
      </c>
    </row>
    <row r="2966" spans="1:4" ht="19.5" customHeight="1">
      <c r="A2966" s="8"/>
      <c r="B2966" s="24" t="s">
        <v>420</v>
      </c>
      <c r="C2966" s="30" t="s">
        <v>2609</v>
      </c>
      <c r="D2966" s="14" t="s">
        <v>422</v>
      </c>
    </row>
    <row r="2967" spans="1:4" ht="12.75" customHeight="1">
      <c r="A2967" s="8"/>
      <c r="B2967" s="24" t="s">
        <v>420</v>
      </c>
      <c r="C2967" s="30" t="s">
        <v>2609</v>
      </c>
      <c r="D2967" s="14" t="s">
        <v>422</v>
      </c>
    </row>
    <row r="2968" spans="1:4" ht="15" customHeight="1">
      <c r="A2968" s="8"/>
      <c r="B2968" s="38" t="s">
        <v>2740</v>
      </c>
      <c r="C2968" s="34" t="s">
        <v>2608</v>
      </c>
      <c r="D2968" s="14" t="s">
        <v>2741</v>
      </c>
    </row>
    <row r="2969" spans="1:4" ht="12" customHeight="1">
      <c r="A2969" s="8"/>
      <c r="B2969" s="38" t="s">
        <v>2679</v>
      </c>
      <c r="C2969" s="34" t="s">
        <v>2608</v>
      </c>
      <c r="D2969" s="14" t="s">
        <v>462</v>
      </c>
    </row>
    <row r="2970" spans="1:4" ht="15" customHeight="1">
      <c r="A2970" s="8"/>
      <c r="B2970" s="38" t="s">
        <v>2685</v>
      </c>
      <c r="C2970" s="34" t="s">
        <v>2608</v>
      </c>
      <c r="D2970" s="14" t="s">
        <v>438</v>
      </c>
    </row>
    <row r="2971" spans="1:4" ht="15" customHeight="1">
      <c r="A2971" s="8"/>
      <c r="B2971" s="38" t="s">
        <v>2711</v>
      </c>
      <c r="C2971" s="36">
        <v>4</v>
      </c>
      <c r="D2971" s="14" t="s">
        <v>2377</v>
      </c>
    </row>
    <row r="2972" spans="1:4" ht="15" customHeight="1">
      <c r="A2972" s="8"/>
      <c r="B2972" s="38" t="s">
        <v>2747</v>
      </c>
      <c r="C2972" s="36">
        <v>1</v>
      </c>
      <c r="D2972" s="14" t="s">
        <v>2595</v>
      </c>
    </row>
    <row r="2973" spans="1:4" ht="15" customHeight="1">
      <c r="A2973" s="8"/>
      <c r="B2973" s="38" t="s">
        <v>2744</v>
      </c>
      <c r="C2973" s="36">
        <v>1</v>
      </c>
      <c r="D2973" s="14" t="s">
        <v>2293</v>
      </c>
    </row>
    <row r="2974" spans="1:4" ht="15" customHeight="1">
      <c r="A2974" s="8"/>
      <c r="B2974" s="38" t="s">
        <v>2748</v>
      </c>
      <c r="C2974" s="36">
        <v>2</v>
      </c>
      <c r="D2974" s="14" t="s">
        <v>1117</v>
      </c>
    </row>
    <row r="2975" spans="1:4" ht="15" customHeight="1">
      <c r="A2975" s="8"/>
      <c r="B2975" s="38" t="s">
        <v>2749</v>
      </c>
      <c r="C2975" s="36">
        <v>2</v>
      </c>
      <c r="D2975" s="14" t="s">
        <v>1119</v>
      </c>
    </row>
    <row r="2976" spans="1:4" ht="15" customHeight="1">
      <c r="A2976" s="8"/>
      <c r="B2976" s="38" t="s">
        <v>2687</v>
      </c>
      <c r="C2976" s="36">
        <v>2</v>
      </c>
      <c r="D2976" s="14" t="s">
        <v>1103</v>
      </c>
    </row>
    <row r="2977" spans="1:4" ht="15" customHeight="1">
      <c r="A2977" s="8"/>
      <c r="B2977" s="39" t="s">
        <v>2676</v>
      </c>
      <c r="C2977" s="32">
        <v>1</v>
      </c>
      <c r="D2977" s="14" t="s">
        <v>530</v>
      </c>
    </row>
    <row r="2978" spans="1:4" ht="15" customHeight="1">
      <c r="A2978" s="8" t="s">
        <v>1601</v>
      </c>
      <c r="B2978" s="37" t="s">
        <v>2743</v>
      </c>
      <c r="C2978" s="34" t="s">
        <v>2608</v>
      </c>
      <c r="D2978" s="14" t="s">
        <v>1822</v>
      </c>
    </row>
    <row r="2979" spans="1:4" ht="15" customHeight="1">
      <c r="A2979" s="8"/>
      <c r="B2979" s="38" t="s">
        <v>2738</v>
      </c>
      <c r="C2979" s="34" t="s">
        <v>2608</v>
      </c>
      <c r="D2979" s="14" t="s">
        <v>1834</v>
      </c>
    </row>
    <row r="2980" spans="1:4" ht="15" customHeight="1">
      <c r="A2980" s="8"/>
      <c r="B2980" s="24" t="s">
        <v>420</v>
      </c>
      <c r="C2980" s="30" t="s">
        <v>2609</v>
      </c>
      <c r="D2980" s="14" t="s">
        <v>422</v>
      </c>
    </row>
    <row r="2981" spans="1:4" ht="15" customHeight="1">
      <c r="A2981" s="8"/>
      <c r="B2981" s="24" t="s">
        <v>420</v>
      </c>
      <c r="C2981" s="30" t="s">
        <v>2739</v>
      </c>
      <c r="D2981" s="14" t="s">
        <v>422</v>
      </c>
    </row>
    <row r="2982" spans="1:4" ht="19.5" customHeight="1">
      <c r="A2982" s="8"/>
      <c r="B2982" s="24" t="s">
        <v>420</v>
      </c>
      <c r="C2982" s="30" t="s">
        <v>2609</v>
      </c>
      <c r="D2982" s="14" t="s">
        <v>422</v>
      </c>
    </row>
    <row r="2983" spans="1:4" ht="15" customHeight="1">
      <c r="A2983" s="8"/>
      <c r="B2983" s="24" t="s">
        <v>420</v>
      </c>
      <c r="C2983" s="30" t="s">
        <v>2609</v>
      </c>
      <c r="D2983" s="14" t="s">
        <v>422</v>
      </c>
    </row>
    <row r="2984" spans="1:4" ht="15" customHeight="1">
      <c r="A2984" s="8"/>
      <c r="B2984" s="38" t="s">
        <v>2740</v>
      </c>
      <c r="C2984" s="34" t="s">
        <v>2608</v>
      </c>
      <c r="D2984" s="14" t="s">
        <v>2741</v>
      </c>
    </row>
    <row r="2985" spans="1:4" ht="15" customHeight="1">
      <c r="A2985" s="8"/>
      <c r="B2985" s="38" t="s">
        <v>2679</v>
      </c>
      <c r="C2985" s="34" t="s">
        <v>2608</v>
      </c>
      <c r="D2985" s="14" t="s">
        <v>462</v>
      </c>
    </row>
    <row r="2986" spans="1:4" ht="15" customHeight="1">
      <c r="A2986" s="8"/>
      <c r="B2986" s="38" t="s">
        <v>2685</v>
      </c>
      <c r="C2986" s="34" t="s">
        <v>2608</v>
      </c>
      <c r="D2986" s="14" t="s">
        <v>438</v>
      </c>
    </row>
    <row r="2987" spans="1:4" ht="15" customHeight="1">
      <c r="A2987" s="8"/>
      <c r="B2987" s="38" t="s">
        <v>2711</v>
      </c>
      <c r="C2987" s="36">
        <v>4</v>
      </c>
      <c r="D2987" s="14" t="s">
        <v>2377</v>
      </c>
    </row>
    <row r="2988" spans="1:4" ht="15" customHeight="1">
      <c r="A2988" s="8"/>
      <c r="B2988" s="38" t="s">
        <v>2747</v>
      </c>
      <c r="C2988" s="36">
        <v>1</v>
      </c>
      <c r="D2988" s="14" t="s">
        <v>2595</v>
      </c>
    </row>
    <row r="2989" spans="1:4" ht="15" customHeight="1">
      <c r="A2989" s="8"/>
      <c r="B2989" s="38" t="s">
        <v>2744</v>
      </c>
      <c r="C2989" s="36">
        <v>1</v>
      </c>
      <c r="D2989" s="14" t="s">
        <v>2293</v>
      </c>
    </row>
    <row r="2990" spans="1:4" ht="15" customHeight="1">
      <c r="A2990" s="8"/>
      <c r="B2990" s="38" t="s">
        <v>2748</v>
      </c>
      <c r="C2990" s="36">
        <v>2</v>
      </c>
      <c r="D2990" s="14" t="s">
        <v>1117</v>
      </c>
    </row>
    <row r="2991" spans="1:4" ht="15" customHeight="1">
      <c r="A2991" s="8"/>
      <c r="B2991" s="38" t="s">
        <v>2749</v>
      </c>
      <c r="C2991" s="36">
        <v>2</v>
      </c>
      <c r="D2991" s="14" t="s">
        <v>1119</v>
      </c>
    </row>
    <row r="2992" spans="1:4" ht="15" customHeight="1">
      <c r="A2992" s="8"/>
      <c r="B2992" s="38" t="s">
        <v>2687</v>
      </c>
      <c r="C2992" s="36">
        <v>2</v>
      </c>
      <c r="D2992" s="14" t="s">
        <v>1103</v>
      </c>
    </row>
    <row r="2993" spans="1:4" ht="19.5" customHeight="1">
      <c r="A2993" s="8"/>
      <c r="B2993" s="39" t="s">
        <v>2676</v>
      </c>
      <c r="C2993" s="32">
        <v>1</v>
      </c>
      <c r="D2993" s="14" t="s">
        <v>530</v>
      </c>
    </row>
    <row r="2994" spans="1:4" ht="19.5" customHeight="1">
      <c r="A2994" s="8" t="s">
        <v>1603</v>
      </c>
      <c r="B2994" s="37" t="s">
        <v>2737</v>
      </c>
      <c r="C2994" s="34" t="s">
        <v>2608</v>
      </c>
      <c r="D2994" s="14" t="s">
        <v>1826</v>
      </c>
    </row>
    <row r="2995" spans="1:4" ht="19.5" customHeight="1">
      <c r="A2995" s="8"/>
      <c r="B2995" s="38" t="s">
        <v>2738</v>
      </c>
      <c r="C2995" s="34" t="s">
        <v>2608</v>
      </c>
      <c r="D2995" s="14" t="s">
        <v>1834</v>
      </c>
    </row>
    <row r="2996" spans="1:4" ht="19.5" customHeight="1">
      <c r="A2996" s="8"/>
      <c r="B2996" s="24" t="s">
        <v>420</v>
      </c>
      <c r="C2996" s="30" t="s">
        <v>2609</v>
      </c>
      <c r="D2996" s="14" t="s">
        <v>422</v>
      </c>
    </row>
    <row r="2997" spans="1:4" ht="19.5" customHeight="1">
      <c r="A2997" s="8"/>
      <c r="B2997" s="24" t="s">
        <v>420</v>
      </c>
      <c r="C2997" s="30" t="s">
        <v>2739</v>
      </c>
      <c r="D2997" s="14" t="s">
        <v>422</v>
      </c>
    </row>
    <row r="2998" spans="1:4" ht="15" customHeight="1">
      <c r="A2998" s="8"/>
      <c r="B2998" s="24" t="s">
        <v>420</v>
      </c>
      <c r="C2998" s="30" t="s">
        <v>2609</v>
      </c>
      <c r="D2998" s="14" t="s">
        <v>422</v>
      </c>
    </row>
    <row r="2999" spans="1:4" ht="15" customHeight="1">
      <c r="A2999" s="8"/>
      <c r="B2999" s="24" t="s">
        <v>420</v>
      </c>
      <c r="C2999" s="30" t="s">
        <v>2609</v>
      </c>
      <c r="D2999" s="14" t="s">
        <v>422</v>
      </c>
    </row>
    <row r="3000" spans="1:4" ht="15" customHeight="1">
      <c r="A3000" s="8"/>
      <c r="B3000" s="38" t="s">
        <v>2740</v>
      </c>
      <c r="C3000" s="34" t="s">
        <v>2608</v>
      </c>
      <c r="D3000" s="14" t="s">
        <v>2741</v>
      </c>
    </row>
    <row r="3001" spans="1:4" ht="15" customHeight="1">
      <c r="A3001" s="8"/>
      <c r="B3001" s="38" t="s">
        <v>2685</v>
      </c>
      <c r="C3001" s="34" t="s">
        <v>2608</v>
      </c>
      <c r="D3001" s="14" t="s">
        <v>438</v>
      </c>
    </row>
    <row r="3002" spans="1:4" ht="15" customHeight="1">
      <c r="A3002" s="8"/>
      <c r="B3002" s="38" t="s">
        <v>2711</v>
      </c>
      <c r="C3002" s="36">
        <v>8</v>
      </c>
      <c r="D3002" s="14" t="s">
        <v>2377</v>
      </c>
    </row>
    <row r="3003" spans="1:4" ht="15" customHeight="1">
      <c r="A3003" s="8"/>
      <c r="B3003" s="38" t="s">
        <v>2747</v>
      </c>
      <c r="C3003" s="36">
        <v>1</v>
      </c>
      <c r="D3003" s="14" t="s">
        <v>2595</v>
      </c>
    </row>
    <row r="3004" spans="1:4" ht="15" customHeight="1">
      <c r="A3004" s="8"/>
      <c r="B3004" s="38" t="s">
        <v>2681</v>
      </c>
      <c r="C3004" s="36">
        <v>3</v>
      </c>
      <c r="D3004" s="14" t="s">
        <v>2745</v>
      </c>
    </row>
    <row r="3005" spans="1:4" ht="15" customHeight="1">
      <c r="A3005" s="8"/>
      <c r="B3005" s="38" t="s">
        <v>2675</v>
      </c>
      <c r="C3005" s="36">
        <v>4</v>
      </c>
      <c r="D3005" s="14" t="s">
        <v>1105</v>
      </c>
    </row>
    <row r="3006" spans="1:4" ht="15" customHeight="1">
      <c r="A3006" s="8"/>
      <c r="B3006" s="38" t="s">
        <v>2687</v>
      </c>
      <c r="C3006" s="36">
        <v>2</v>
      </c>
      <c r="D3006" s="14" t="s">
        <v>1103</v>
      </c>
    </row>
    <row r="3007" spans="1:4" ht="15" customHeight="1">
      <c r="A3007" s="8"/>
      <c r="B3007" s="38" t="s">
        <v>2748</v>
      </c>
      <c r="C3007" s="36">
        <v>2</v>
      </c>
      <c r="D3007" s="14" t="s">
        <v>1117</v>
      </c>
    </row>
    <row r="3008" spans="1:4" ht="15" customHeight="1">
      <c r="A3008" s="8"/>
      <c r="B3008" s="38" t="s">
        <v>2749</v>
      </c>
      <c r="C3008" s="36">
        <v>2</v>
      </c>
      <c r="D3008" s="14" t="s">
        <v>1119</v>
      </c>
    </row>
    <row r="3009" spans="1:4" ht="15" customHeight="1">
      <c r="A3009" s="8"/>
      <c r="B3009" s="39" t="s">
        <v>2676</v>
      </c>
      <c r="C3009" s="32">
        <v>3</v>
      </c>
      <c r="D3009" s="14" t="s">
        <v>530</v>
      </c>
    </row>
    <row r="3010" spans="1:4" ht="15" customHeight="1">
      <c r="A3010" s="8" t="s">
        <v>1605</v>
      </c>
      <c r="B3010" s="37" t="s">
        <v>2743</v>
      </c>
      <c r="C3010" s="34" t="s">
        <v>2608</v>
      </c>
      <c r="D3010" s="14" t="s">
        <v>1822</v>
      </c>
    </row>
    <row r="3011" spans="1:4" ht="15" customHeight="1">
      <c r="A3011" s="8"/>
      <c r="B3011" s="38" t="s">
        <v>2738</v>
      </c>
      <c r="C3011" s="34" t="s">
        <v>2608</v>
      </c>
      <c r="D3011" s="14" t="s">
        <v>1834</v>
      </c>
    </row>
    <row r="3012" spans="1:4" ht="15" customHeight="1">
      <c r="A3012" s="8"/>
      <c r="B3012" s="24" t="s">
        <v>420</v>
      </c>
      <c r="C3012" s="30" t="s">
        <v>2609</v>
      </c>
      <c r="D3012" s="14" t="s">
        <v>422</v>
      </c>
    </row>
    <row r="3013" spans="1:4" ht="15" customHeight="1">
      <c r="A3013" s="8"/>
      <c r="B3013" s="24" t="s">
        <v>420</v>
      </c>
      <c r="C3013" s="30" t="s">
        <v>2739</v>
      </c>
      <c r="D3013" s="14" t="s">
        <v>422</v>
      </c>
    </row>
    <row r="3014" spans="1:4" ht="15" customHeight="1">
      <c r="A3014" s="8"/>
      <c r="B3014" s="24" t="s">
        <v>420</v>
      </c>
      <c r="C3014" s="30" t="s">
        <v>2609</v>
      </c>
      <c r="D3014" s="14" t="s">
        <v>422</v>
      </c>
    </row>
    <row r="3015" spans="1:4" ht="15" customHeight="1">
      <c r="A3015" s="8"/>
      <c r="B3015" s="24" t="s">
        <v>420</v>
      </c>
      <c r="C3015" s="30" t="s">
        <v>2609</v>
      </c>
      <c r="D3015" s="14" t="s">
        <v>422</v>
      </c>
    </row>
    <row r="3016" spans="1:4" ht="15" customHeight="1">
      <c r="A3016" s="8"/>
      <c r="B3016" s="38" t="s">
        <v>2740</v>
      </c>
      <c r="C3016" s="34" t="s">
        <v>2608</v>
      </c>
      <c r="D3016" s="14" t="s">
        <v>2741</v>
      </c>
    </row>
    <row r="3017" spans="1:4" ht="15" customHeight="1">
      <c r="A3017" s="8"/>
      <c r="B3017" s="38" t="s">
        <v>2685</v>
      </c>
      <c r="C3017" s="34" t="s">
        <v>2608</v>
      </c>
      <c r="D3017" s="14" t="s">
        <v>438</v>
      </c>
    </row>
    <row r="3018" spans="1:4" ht="15" customHeight="1">
      <c r="A3018" s="8"/>
      <c r="B3018" s="38" t="s">
        <v>2711</v>
      </c>
      <c r="C3018" s="36">
        <v>8</v>
      </c>
      <c r="D3018" s="14" t="s">
        <v>2377</v>
      </c>
    </row>
    <row r="3019" spans="1:4" ht="15" customHeight="1">
      <c r="A3019" s="8"/>
      <c r="B3019" s="38" t="s">
        <v>2747</v>
      </c>
      <c r="C3019" s="36">
        <v>1</v>
      </c>
      <c r="D3019" s="14" t="s">
        <v>2595</v>
      </c>
    </row>
    <row r="3020" spans="1:4" ht="15" customHeight="1">
      <c r="A3020" s="8"/>
      <c r="B3020" s="38" t="s">
        <v>2681</v>
      </c>
      <c r="C3020" s="36">
        <v>3</v>
      </c>
      <c r="D3020" s="14" t="s">
        <v>2745</v>
      </c>
    </row>
    <row r="3021" spans="1:4" ht="15" customHeight="1">
      <c r="A3021" s="8"/>
      <c r="B3021" s="38" t="s">
        <v>2675</v>
      </c>
      <c r="C3021" s="36">
        <v>4</v>
      </c>
      <c r="D3021" s="14" t="s">
        <v>1105</v>
      </c>
    </row>
    <row r="3022" spans="1:4" ht="15" customHeight="1">
      <c r="A3022" s="8"/>
      <c r="B3022" s="38" t="s">
        <v>2687</v>
      </c>
      <c r="C3022" s="36">
        <v>2</v>
      </c>
      <c r="D3022" s="14" t="s">
        <v>1103</v>
      </c>
    </row>
    <row r="3023" spans="1:4" ht="15" customHeight="1">
      <c r="A3023" s="8"/>
      <c r="B3023" s="38" t="s">
        <v>2748</v>
      </c>
      <c r="C3023" s="36">
        <v>2</v>
      </c>
      <c r="D3023" s="14" t="s">
        <v>1117</v>
      </c>
    </row>
    <row r="3024" spans="1:4" ht="15" customHeight="1">
      <c r="A3024" s="8"/>
      <c r="B3024" s="38" t="s">
        <v>2749</v>
      </c>
      <c r="C3024" s="36">
        <v>2</v>
      </c>
      <c r="D3024" s="14" t="s">
        <v>1119</v>
      </c>
    </row>
    <row r="3025" spans="1:4" ht="15" customHeight="1">
      <c r="A3025" s="8"/>
      <c r="B3025" s="39" t="s">
        <v>2676</v>
      </c>
      <c r="C3025" s="32">
        <v>3</v>
      </c>
      <c r="D3025" s="14" t="s">
        <v>530</v>
      </c>
    </row>
    <row r="3026" spans="1:4" ht="15" customHeight="1">
      <c r="A3026" s="35"/>
      <c r="B3026" s="38"/>
      <c r="C3026" s="36"/>
      <c r="D3026" s="14"/>
    </row>
    <row r="3027" spans="1:4" ht="15" customHeight="1">
      <c r="A3027" s="35"/>
      <c r="B3027" s="38"/>
      <c r="C3027" s="36"/>
      <c r="D3027" s="14"/>
    </row>
    <row r="3028" spans="1:4" ht="15" customHeight="1">
      <c r="A3028" s="8" t="s">
        <v>1607</v>
      </c>
      <c r="B3028" s="37" t="s">
        <v>2737</v>
      </c>
      <c r="C3028" s="34" t="s">
        <v>2608</v>
      </c>
      <c r="D3028" s="14" t="s">
        <v>1826</v>
      </c>
    </row>
    <row r="3029" spans="1:4" ht="15" customHeight="1">
      <c r="A3029" s="8"/>
      <c r="B3029" s="38" t="s">
        <v>2746</v>
      </c>
      <c r="C3029" s="34" t="s">
        <v>2608</v>
      </c>
      <c r="D3029" s="14" t="s">
        <v>1842</v>
      </c>
    </row>
    <row r="3030" spans="1:4" ht="15" customHeight="1">
      <c r="A3030" s="8"/>
      <c r="B3030" s="24" t="s">
        <v>420</v>
      </c>
      <c r="C3030" s="30" t="s">
        <v>2609</v>
      </c>
      <c r="D3030" s="14" t="s">
        <v>422</v>
      </c>
    </row>
    <row r="3031" spans="1:4" ht="15" customHeight="1">
      <c r="A3031" s="8"/>
      <c r="B3031" s="24" t="s">
        <v>420</v>
      </c>
      <c r="C3031" s="30" t="s">
        <v>2739</v>
      </c>
      <c r="D3031" s="14" t="s">
        <v>422</v>
      </c>
    </row>
    <row r="3032" spans="1:4" ht="19.5" customHeight="1">
      <c r="A3032" s="8"/>
      <c r="B3032" s="24" t="s">
        <v>420</v>
      </c>
      <c r="C3032" s="30" t="s">
        <v>2609</v>
      </c>
      <c r="D3032" s="14" t="s">
        <v>422</v>
      </c>
    </row>
    <row r="3033" spans="1:4" ht="15" customHeight="1">
      <c r="A3033" s="8"/>
      <c r="B3033" s="24" t="s">
        <v>420</v>
      </c>
      <c r="C3033" s="30" t="s">
        <v>2609</v>
      </c>
      <c r="D3033" s="14" t="s">
        <v>422</v>
      </c>
    </row>
    <row r="3034" spans="1:4" ht="15" customHeight="1">
      <c r="A3034" s="8"/>
      <c r="B3034" s="38" t="s">
        <v>2740</v>
      </c>
      <c r="C3034" s="34" t="s">
        <v>2608</v>
      </c>
      <c r="D3034" s="14" t="s">
        <v>2741</v>
      </c>
    </row>
    <row r="3035" spans="1:4" ht="15" customHeight="1">
      <c r="A3035" s="8"/>
      <c r="B3035" s="38" t="s">
        <v>2685</v>
      </c>
      <c r="C3035" s="34" t="s">
        <v>2608</v>
      </c>
      <c r="D3035" s="14" t="s">
        <v>438</v>
      </c>
    </row>
    <row r="3036" spans="1:4" ht="15" customHeight="1">
      <c r="A3036" s="8"/>
      <c r="B3036" s="38" t="s">
        <v>2711</v>
      </c>
      <c r="C3036" s="36">
        <v>4</v>
      </c>
      <c r="D3036" s="14" t="s">
        <v>2377</v>
      </c>
    </row>
    <row r="3037" spans="1:4" ht="19.5" customHeight="1">
      <c r="A3037" s="8"/>
      <c r="B3037" s="38" t="s">
        <v>2747</v>
      </c>
      <c r="C3037" s="36">
        <v>1</v>
      </c>
      <c r="D3037" s="14" t="s">
        <v>2595</v>
      </c>
    </row>
    <row r="3038" spans="1:4" ht="16.5" customHeight="1">
      <c r="A3038" s="8"/>
      <c r="B3038" s="38" t="s">
        <v>2744</v>
      </c>
      <c r="C3038" s="36">
        <v>1</v>
      </c>
      <c r="D3038" s="14" t="s">
        <v>2293</v>
      </c>
    </row>
    <row r="3039" spans="1:4" ht="15" customHeight="1">
      <c r="A3039" s="8"/>
      <c r="B3039" s="38" t="s">
        <v>2687</v>
      </c>
      <c r="C3039" s="36">
        <v>2</v>
      </c>
      <c r="D3039" s="14" t="s">
        <v>1103</v>
      </c>
    </row>
    <row r="3040" spans="1:4" ht="15" customHeight="1">
      <c r="A3040" s="8"/>
      <c r="B3040" s="38" t="s">
        <v>2748</v>
      </c>
      <c r="C3040" s="36">
        <v>2</v>
      </c>
      <c r="D3040" s="14" t="s">
        <v>1117</v>
      </c>
    </row>
    <row r="3041" spans="1:4" ht="16.5" customHeight="1">
      <c r="A3041" s="8"/>
      <c r="B3041" s="38" t="s">
        <v>2749</v>
      </c>
      <c r="C3041" s="36">
        <v>2</v>
      </c>
      <c r="D3041" s="14" t="s">
        <v>1119</v>
      </c>
    </row>
    <row r="3042" spans="1:4" ht="17.25" customHeight="1">
      <c r="A3042" s="8"/>
      <c r="B3042" s="39" t="s">
        <v>2676</v>
      </c>
      <c r="C3042" s="32">
        <v>1</v>
      </c>
      <c r="D3042" s="14" t="s">
        <v>530</v>
      </c>
    </row>
    <row r="3043" spans="1:4" ht="19.5" customHeight="1">
      <c r="A3043" s="8" t="s">
        <v>1609</v>
      </c>
      <c r="B3043" s="37" t="s">
        <v>2743</v>
      </c>
      <c r="C3043" s="34" t="s">
        <v>2608</v>
      </c>
      <c r="D3043" s="14" t="s">
        <v>1822</v>
      </c>
    </row>
    <row r="3044" spans="1:4" ht="19.5" customHeight="1">
      <c r="A3044" s="8"/>
      <c r="B3044" s="38" t="s">
        <v>2746</v>
      </c>
      <c r="C3044" s="34" t="s">
        <v>2608</v>
      </c>
      <c r="D3044" s="14" t="s">
        <v>1842</v>
      </c>
    </row>
    <row r="3045" spans="1:4" ht="19.5" customHeight="1">
      <c r="A3045" s="8"/>
      <c r="B3045" s="24" t="s">
        <v>420</v>
      </c>
      <c r="C3045" s="30" t="s">
        <v>2739</v>
      </c>
      <c r="D3045" s="14" t="s">
        <v>422</v>
      </c>
    </row>
    <row r="3046" spans="1:4" ht="19.5" customHeight="1">
      <c r="A3046" s="8"/>
      <c r="B3046" s="24" t="s">
        <v>420</v>
      </c>
      <c r="C3046" s="30" t="s">
        <v>2609</v>
      </c>
      <c r="D3046" s="14" t="s">
        <v>422</v>
      </c>
    </row>
    <row r="3047" spans="1:4" ht="19.5" customHeight="1">
      <c r="A3047" s="8"/>
      <c r="B3047" s="24" t="s">
        <v>420</v>
      </c>
      <c r="C3047" s="30" t="s">
        <v>2609</v>
      </c>
      <c r="D3047" s="14" t="s">
        <v>422</v>
      </c>
    </row>
    <row r="3048" spans="1:4" ht="19.5" customHeight="1">
      <c r="A3048" s="8"/>
      <c r="B3048" s="24" t="s">
        <v>420</v>
      </c>
      <c r="C3048" s="30" t="s">
        <v>2609</v>
      </c>
      <c r="D3048" s="14" t="s">
        <v>422</v>
      </c>
    </row>
    <row r="3049" spans="1:4" ht="19.5" customHeight="1">
      <c r="A3049" s="8"/>
      <c r="B3049" s="38" t="s">
        <v>2740</v>
      </c>
      <c r="C3049" s="34" t="s">
        <v>2608</v>
      </c>
      <c r="D3049" s="14" t="s">
        <v>2741</v>
      </c>
    </row>
    <row r="3050" spans="1:4" ht="19.5" customHeight="1">
      <c r="A3050" s="8"/>
      <c r="B3050" s="38" t="s">
        <v>2685</v>
      </c>
      <c r="C3050" s="34" t="s">
        <v>2608</v>
      </c>
      <c r="D3050" s="14" t="s">
        <v>438</v>
      </c>
    </row>
    <row r="3051" spans="1:4" ht="19.5" customHeight="1">
      <c r="A3051" s="8"/>
      <c r="B3051" s="38" t="s">
        <v>2711</v>
      </c>
      <c r="C3051" s="36">
        <v>4</v>
      </c>
      <c r="D3051" s="14" t="s">
        <v>2377</v>
      </c>
    </row>
    <row r="3052" spans="1:4" ht="19.5" customHeight="1">
      <c r="A3052" s="8"/>
      <c r="B3052" s="38" t="s">
        <v>2747</v>
      </c>
      <c r="C3052" s="36">
        <v>1</v>
      </c>
      <c r="D3052" s="14" t="s">
        <v>2595</v>
      </c>
    </row>
    <row r="3053" spans="1:4" ht="15" customHeight="1">
      <c r="A3053" s="8"/>
      <c r="B3053" s="38" t="s">
        <v>2744</v>
      </c>
      <c r="C3053" s="36">
        <v>1</v>
      </c>
      <c r="D3053" s="14" t="s">
        <v>2293</v>
      </c>
    </row>
    <row r="3054" spans="1:4" ht="15.75" customHeight="1">
      <c r="A3054" s="8"/>
      <c r="B3054" s="38" t="s">
        <v>2748</v>
      </c>
      <c r="C3054" s="36">
        <v>2</v>
      </c>
      <c r="D3054" s="14" t="s">
        <v>1117</v>
      </c>
    </row>
    <row r="3055" spans="1:4" ht="17.25" customHeight="1">
      <c r="A3055" s="8"/>
      <c r="B3055" s="38" t="s">
        <v>2749</v>
      </c>
      <c r="C3055" s="36">
        <v>2</v>
      </c>
      <c r="D3055" s="14" t="s">
        <v>1119</v>
      </c>
    </row>
    <row r="3056" spans="1:4" ht="15" customHeight="1">
      <c r="A3056" s="8"/>
      <c r="B3056" s="38" t="s">
        <v>2687</v>
      </c>
      <c r="C3056" s="36">
        <v>2</v>
      </c>
      <c r="D3056" s="14" t="s">
        <v>1103</v>
      </c>
    </row>
    <row r="3057" spans="1:4" ht="15" customHeight="1">
      <c r="A3057" s="8"/>
      <c r="B3057" s="39" t="s">
        <v>2676</v>
      </c>
      <c r="C3057" s="32">
        <v>1</v>
      </c>
      <c r="D3057" s="14" t="s">
        <v>530</v>
      </c>
    </row>
    <row r="3058" spans="1:4" ht="15" customHeight="1">
      <c r="A3058" s="8" t="s">
        <v>1611</v>
      </c>
      <c r="B3058" s="37" t="s">
        <v>2737</v>
      </c>
      <c r="C3058" s="34" t="s">
        <v>2608</v>
      </c>
      <c r="D3058" s="14" t="s">
        <v>1826</v>
      </c>
    </row>
    <row r="3059" spans="1:4" ht="15" customHeight="1">
      <c r="A3059" s="8"/>
      <c r="B3059" s="38" t="s">
        <v>2746</v>
      </c>
      <c r="C3059" s="34" t="s">
        <v>2608</v>
      </c>
      <c r="D3059" s="14" t="s">
        <v>1842</v>
      </c>
    </row>
    <row r="3060" spans="1:4" ht="15" customHeight="1">
      <c r="A3060" s="8"/>
      <c r="B3060" s="24" t="s">
        <v>420</v>
      </c>
      <c r="C3060" s="30" t="s">
        <v>2609</v>
      </c>
      <c r="D3060" s="14" t="s">
        <v>422</v>
      </c>
    </row>
    <row r="3061" spans="1:4" ht="15" customHeight="1">
      <c r="A3061" s="8"/>
      <c r="B3061" s="24" t="s">
        <v>420</v>
      </c>
      <c r="C3061" s="30" t="s">
        <v>2739</v>
      </c>
      <c r="D3061" s="14" t="s">
        <v>422</v>
      </c>
    </row>
    <row r="3062" spans="1:4" ht="15" customHeight="1">
      <c r="A3062" s="8"/>
      <c r="B3062" s="24" t="s">
        <v>420</v>
      </c>
      <c r="C3062" s="30" t="s">
        <v>2609</v>
      </c>
      <c r="D3062" s="14" t="s">
        <v>422</v>
      </c>
    </row>
    <row r="3063" spans="1:4" ht="15" customHeight="1">
      <c r="A3063" s="8"/>
      <c r="B3063" s="24" t="s">
        <v>420</v>
      </c>
      <c r="C3063" s="30" t="s">
        <v>2609</v>
      </c>
      <c r="D3063" s="14" t="s">
        <v>422</v>
      </c>
    </row>
    <row r="3064" spans="1:4" ht="15" customHeight="1">
      <c r="A3064" s="8"/>
      <c r="B3064" s="38" t="s">
        <v>2740</v>
      </c>
      <c r="C3064" s="34" t="s">
        <v>2608</v>
      </c>
      <c r="D3064" s="14" t="s">
        <v>2741</v>
      </c>
    </row>
    <row r="3065" spans="1:4" ht="15" customHeight="1">
      <c r="A3065" s="8"/>
      <c r="B3065" s="38" t="s">
        <v>2679</v>
      </c>
      <c r="C3065" s="34" t="s">
        <v>2608</v>
      </c>
      <c r="D3065" s="14" t="s">
        <v>462</v>
      </c>
    </row>
    <row r="3066" spans="1:4" ht="15" customHeight="1">
      <c r="A3066" s="8"/>
      <c r="B3066" s="38" t="s">
        <v>2685</v>
      </c>
      <c r="C3066" s="34" t="s">
        <v>2608</v>
      </c>
      <c r="D3066" s="14" t="s">
        <v>438</v>
      </c>
    </row>
    <row r="3067" spans="1:4" ht="15" customHeight="1">
      <c r="A3067" s="8"/>
      <c r="B3067" s="38" t="s">
        <v>2711</v>
      </c>
      <c r="C3067" s="36">
        <v>4</v>
      </c>
      <c r="D3067" s="14" t="s">
        <v>2377</v>
      </c>
    </row>
    <row r="3068" spans="1:4" ht="15" customHeight="1">
      <c r="A3068" s="8"/>
      <c r="B3068" s="38" t="s">
        <v>2747</v>
      </c>
      <c r="C3068" s="36">
        <v>1</v>
      </c>
      <c r="D3068" s="14" t="s">
        <v>2595</v>
      </c>
    </row>
    <row r="3069" spans="1:4" ht="15" customHeight="1">
      <c r="A3069" s="8"/>
      <c r="B3069" s="38" t="s">
        <v>2744</v>
      </c>
      <c r="C3069" s="36">
        <v>1</v>
      </c>
      <c r="D3069" s="14" t="s">
        <v>2293</v>
      </c>
    </row>
    <row r="3070" spans="1:4" ht="15" customHeight="1">
      <c r="A3070" s="8"/>
      <c r="B3070" s="38" t="s">
        <v>2748</v>
      </c>
      <c r="C3070" s="36">
        <v>2</v>
      </c>
      <c r="D3070" s="14" t="s">
        <v>1117</v>
      </c>
    </row>
    <row r="3071" spans="1:4" ht="15" customHeight="1">
      <c r="A3071" s="8"/>
      <c r="B3071" s="38" t="s">
        <v>2749</v>
      </c>
      <c r="C3071" s="36">
        <v>2</v>
      </c>
      <c r="D3071" s="14" t="s">
        <v>1119</v>
      </c>
    </row>
    <row r="3072" spans="1:4" ht="19.5" customHeight="1">
      <c r="A3072" s="8"/>
      <c r="B3072" s="38" t="s">
        <v>2687</v>
      </c>
      <c r="C3072" s="36">
        <v>2</v>
      </c>
      <c r="D3072" s="14" t="s">
        <v>1103</v>
      </c>
    </row>
    <row r="3073" spans="1:4" ht="19.5" customHeight="1">
      <c r="A3073" s="8"/>
      <c r="B3073" s="39" t="s">
        <v>2676</v>
      </c>
      <c r="C3073" s="32">
        <v>1</v>
      </c>
      <c r="D3073" s="14" t="s">
        <v>530</v>
      </c>
    </row>
    <row r="3074" spans="1:4" ht="15" customHeight="1">
      <c r="A3074" s="8" t="s">
        <v>1613</v>
      </c>
      <c r="B3074" s="37" t="s">
        <v>2743</v>
      </c>
      <c r="C3074" s="34" t="s">
        <v>2608</v>
      </c>
      <c r="D3074" s="14" t="s">
        <v>1822</v>
      </c>
    </row>
    <row r="3075" spans="1:4" ht="15" customHeight="1">
      <c r="A3075" s="8"/>
      <c r="B3075" s="38" t="s">
        <v>2746</v>
      </c>
      <c r="C3075" s="34" t="s">
        <v>2608</v>
      </c>
      <c r="D3075" s="14" t="s">
        <v>1842</v>
      </c>
    </row>
    <row r="3076" spans="1:4" ht="15" customHeight="1">
      <c r="A3076" s="8"/>
      <c r="B3076" s="24" t="s">
        <v>420</v>
      </c>
      <c r="C3076" s="30" t="s">
        <v>2609</v>
      </c>
      <c r="D3076" s="14" t="s">
        <v>422</v>
      </c>
    </row>
    <row r="3077" spans="1:4" ht="19.5" customHeight="1">
      <c r="A3077" s="8"/>
      <c r="B3077" s="24" t="s">
        <v>420</v>
      </c>
      <c r="C3077" s="30" t="s">
        <v>2609</v>
      </c>
      <c r="D3077" s="14" t="s">
        <v>422</v>
      </c>
    </row>
    <row r="3078" spans="1:4" ht="15" customHeight="1">
      <c r="A3078" s="8"/>
      <c r="B3078" s="24" t="s">
        <v>420</v>
      </c>
      <c r="C3078" s="30" t="s">
        <v>2739</v>
      </c>
      <c r="D3078" s="14" t="s">
        <v>422</v>
      </c>
    </row>
    <row r="3079" spans="1:4" ht="15" customHeight="1">
      <c r="A3079" s="8"/>
      <c r="B3079" s="24" t="s">
        <v>420</v>
      </c>
      <c r="C3079" s="30" t="s">
        <v>2609</v>
      </c>
      <c r="D3079" s="14" t="s">
        <v>422</v>
      </c>
    </row>
    <row r="3080" spans="1:4" ht="15" customHeight="1">
      <c r="A3080" s="8"/>
      <c r="B3080" s="38" t="s">
        <v>2740</v>
      </c>
      <c r="C3080" s="34" t="s">
        <v>2608</v>
      </c>
      <c r="D3080" s="14" t="s">
        <v>2741</v>
      </c>
    </row>
    <row r="3081" spans="1:4" ht="15" customHeight="1">
      <c r="A3081" s="8"/>
      <c r="B3081" s="38" t="s">
        <v>2679</v>
      </c>
      <c r="C3081" s="34" t="s">
        <v>2608</v>
      </c>
      <c r="D3081" s="14" t="s">
        <v>462</v>
      </c>
    </row>
    <row r="3082" spans="1:4" ht="15" customHeight="1">
      <c r="A3082" s="8"/>
      <c r="B3082" s="38" t="s">
        <v>2685</v>
      </c>
      <c r="C3082" s="34" t="s">
        <v>2608</v>
      </c>
      <c r="D3082" s="14" t="s">
        <v>438</v>
      </c>
    </row>
    <row r="3083" spans="1:4" ht="18" customHeight="1">
      <c r="A3083" s="8"/>
      <c r="B3083" s="38" t="s">
        <v>2711</v>
      </c>
      <c r="C3083" s="36">
        <v>4</v>
      </c>
      <c r="D3083" s="14" t="s">
        <v>2377</v>
      </c>
    </row>
    <row r="3084" spans="1:4" ht="18" customHeight="1">
      <c r="A3084" s="8"/>
      <c r="B3084" s="38" t="s">
        <v>2747</v>
      </c>
      <c r="C3084" s="36">
        <v>1</v>
      </c>
      <c r="D3084" s="14" t="s">
        <v>2595</v>
      </c>
    </row>
    <row r="3085" spans="1:4" ht="19.5" customHeight="1">
      <c r="A3085" s="8"/>
      <c r="B3085" s="38" t="s">
        <v>2744</v>
      </c>
      <c r="C3085" s="36">
        <v>1</v>
      </c>
      <c r="D3085" s="14" t="s">
        <v>2293</v>
      </c>
    </row>
    <row r="3086" spans="1:4" ht="19.5" customHeight="1">
      <c r="A3086" s="8"/>
      <c r="B3086" s="38" t="s">
        <v>2748</v>
      </c>
      <c r="C3086" s="36">
        <v>2</v>
      </c>
      <c r="D3086" s="14" t="s">
        <v>1117</v>
      </c>
    </row>
    <row r="3087" spans="1:4" ht="19.5" customHeight="1">
      <c r="A3087" s="8"/>
      <c r="B3087" s="38" t="s">
        <v>2749</v>
      </c>
      <c r="C3087" s="36">
        <v>2</v>
      </c>
      <c r="D3087" s="14" t="s">
        <v>1119</v>
      </c>
    </row>
    <row r="3088" spans="1:4" ht="19.5" customHeight="1">
      <c r="A3088" s="8"/>
      <c r="B3088" s="38" t="s">
        <v>2687</v>
      </c>
      <c r="C3088" s="36">
        <v>2</v>
      </c>
      <c r="D3088" s="14" t="s">
        <v>1103</v>
      </c>
    </row>
    <row r="3089" spans="1:4" ht="19.5" customHeight="1">
      <c r="A3089" s="8"/>
      <c r="B3089" s="39" t="s">
        <v>2676</v>
      </c>
      <c r="C3089" s="32">
        <v>1</v>
      </c>
      <c r="D3089" s="14" t="s">
        <v>530</v>
      </c>
    </row>
    <row r="3090" spans="1:4" ht="19.5" customHeight="1">
      <c r="A3090" s="8" t="s">
        <v>1615</v>
      </c>
      <c r="B3090" s="37" t="s">
        <v>2737</v>
      </c>
      <c r="C3090" s="34" t="s">
        <v>2608</v>
      </c>
      <c r="D3090" s="14" t="s">
        <v>1826</v>
      </c>
    </row>
    <row r="3091" spans="1:4" ht="19.5" customHeight="1">
      <c r="A3091" s="8"/>
      <c r="B3091" s="38" t="s">
        <v>2746</v>
      </c>
      <c r="C3091" s="34" t="s">
        <v>2608</v>
      </c>
      <c r="D3091" s="14" t="s">
        <v>1842</v>
      </c>
    </row>
    <row r="3092" spans="1:4" ht="19.5" customHeight="1">
      <c r="A3092" s="8"/>
      <c r="B3092" s="24" t="s">
        <v>420</v>
      </c>
      <c r="C3092" s="30" t="s">
        <v>2739</v>
      </c>
      <c r="D3092" s="14" t="s">
        <v>422</v>
      </c>
    </row>
    <row r="3093" spans="1:4" ht="15" customHeight="1">
      <c r="A3093" s="8"/>
      <c r="B3093" s="24" t="s">
        <v>420</v>
      </c>
      <c r="C3093" s="30" t="s">
        <v>2609</v>
      </c>
      <c r="D3093" s="14" t="s">
        <v>422</v>
      </c>
    </row>
    <row r="3094" spans="1:4" ht="15" customHeight="1">
      <c r="A3094" s="8"/>
      <c r="B3094" s="24" t="s">
        <v>420</v>
      </c>
      <c r="C3094" s="30" t="s">
        <v>2609</v>
      </c>
      <c r="D3094" s="14" t="s">
        <v>422</v>
      </c>
    </row>
    <row r="3095" spans="1:4" ht="15" customHeight="1">
      <c r="A3095" s="8"/>
      <c r="B3095" s="24" t="s">
        <v>420</v>
      </c>
      <c r="C3095" s="30" t="s">
        <v>2609</v>
      </c>
      <c r="D3095" s="14" t="s">
        <v>422</v>
      </c>
    </row>
    <row r="3096" spans="1:4" ht="15" customHeight="1">
      <c r="A3096" s="8"/>
      <c r="B3096" s="38" t="s">
        <v>2685</v>
      </c>
      <c r="C3096" s="34" t="s">
        <v>2608</v>
      </c>
      <c r="D3096" s="14" t="s">
        <v>438</v>
      </c>
    </row>
    <row r="3097" spans="1:4" ht="15" customHeight="1">
      <c r="A3097" s="8"/>
      <c r="B3097" s="38" t="s">
        <v>2740</v>
      </c>
      <c r="C3097" s="34" t="s">
        <v>2608</v>
      </c>
      <c r="D3097" s="14" t="s">
        <v>2741</v>
      </c>
    </row>
    <row r="3098" spans="1:4" ht="15" customHeight="1">
      <c r="A3098" s="8"/>
      <c r="B3098" s="38" t="s">
        <v>2711</v>
      </c>
      <c r="C3098" s="36">
        <v>8</v>
      </c>
      <c r="D3098" s="14" t="s">
        <v>2377</v>
      </c>
    </row>
    <row r="3099" spans="1:4" ht="15" customHeight="1">
      <c r="A3099" s="8"/>
      <c r="B3099" s="38" t="s">
        <v>2747</v>
      </c>
      <c r="C3099" s="36">
        <v>1</v>
      </c>
      <c r="D3099" s="14" t="s">
        <v>2595</v>
      </c>
    </row>
    <row r="3100" spans="1:4" ht="15" customHeight="1">
      <c r="A3100" s="8"/>
      <c r="B3100" s="38" t="s">
        <v>2681</v>
      </c>
      <c r="C3100" s="36">
        <v>3</v>
      </c>
      <c r="D3100" s="14" t="s">
        <v>2745</v>
      </c>
    </row>
    <row r="3101" spans="1:4" ht="15" customHeight="1">
      <c r="A3101" s="8"/>
      <c r="B3101" s="38" t="s">
        <v>2748</v>
      </c>
      <c r="C3101" s="36">
        <v>2</v>
      </c>
      <c r="D3101" s="14" t="s">
        <v>1117</v>
      </c>
    </row>
    <row r="3102" spans="1:4" ht="15" customHeight="1">
      <c r="A3102" s="8"/>
      <c r="B3102" s="38" t="s">
        <v>2749</v>
      </c>
      <c r="C3102" s="36">
        <v>2</v>
      </c>
      <c r="D3102" s="14" t="s">
        <v>1119</v>
      </c>
    </row>
    <row r="3103" spans="1:4" ht="15" customHeight="1">
      <c r="A3103" s="8"/>
      <c r="B3103" s="38" t="s">
        <v>2675</v>
      </c>
      <c r="C3103" s="36">
        <v>4</v>
      </c>
      <c r="D3103" s="14" t="s">
        <v>1105</v>
      </c>
    </row>
    <row r="3104" spans="1:4" ht="15" customHeight="1">
      <c r="A3104" s="8"/>
      <c r="B3104" s="38" t="s">
        <v>2687</v>
      </c>
      <c r="C3104" s="36">
        <v>2</v>
      </c>
      <c r="D3104" s="14" t="s">
        <v>1103</v>
      </c>
    </row>
    <row r="3105" spans="1:4" ht="15" customHeight="1">
      <c r="A3105" s="8"/>
      <c r="B3105" s="39" t="s">
        <v>2676</v>
      </c>
      <c r="C3105" s="32">
        <v>3</v>
      </c>
      <c r="D3105" s="14" t="s">
        <v>530</v>
      </c>
    </row>
    <row r="3106" spans="1:4" ht="15" customHeight="1">
      <c r="A3106" s="8" t="s">
        <v>1617</v>
      </c>
      <c r="B3106" s="37" t="s">
        <v>2743</v>
      </c>
      <c r="C3106" s="34" t="s">
        <v>2608</v>
      </c>
      <c r="D3106" s="14" t="s">
        <v>1822</v>
      </c>
    </row>
    <row r="3107" spans="1:4" ht="15" customHeight="1">
      <c r="A3107" s="8"/>
      <c r="B3107" s="38" t="s">
        <v>2746</v>
      </c>
      <c r="C3107" s="34" t="s">
        <v>2608</v>
      </c>
      <c r="D3107" s="14" t="s">
        <v>1842</v>
      </c>
    </row>
    <row r="3108" spans="1:4" ht="15" customHeight="1">
      <c r="A3108" s="8"/>
      <c r="B3108" s="24" t="s">
        <v>420</v>
      </c>
      <c r="C3108" s="30" t="s">
        <v>2609</v>
      </c>
      <c r="D3108" s="14" t="s">
        <v>422</v>
      </c>
    </row>
    <row r="3109" spans="1:4" ht="15" customHeight="1">
      <c r="A3109" s="8"/>
      <c r="B3109" s="24" t="s">
        <v>420</v>
      </c>
      <c r="C3109" s="30" t="s">
        <v>2609</v>
      </c>
      <c r="D3109" s="14" t="s">
        <v>422</v>
      </c>
    </row>
    <row r="3110" spans="1:4" ht="15" customHeight="1">
      <c r="A3110" s="8"/>
      <c r="B3110" s="24" t="s">
        <v>420</v>
      </c>
      <c r="C3110" s="30" t="s">
        <v>2739</v>
      </c>
      <c r="D3110" s="14" t="s">
        <v>422</v>
      </c>
    </row>
    <row r="3111" spans="1:4" ht="15" customHeight="1">
      <c r="A3111" s="8"/>
      <c r="B3111" s="24" t="s">
        <v>420</v>
      </c>
      <c r="C3111" s="30" t="s">
        <v>2609</v>
      </c>
      <c r="D3111" s="14" t="s">
        <v>422</v>
      </c>
    </row>
    <row r="3112" spans="1:4" ht="15" customHeight="1">
      <c r="A3112" s="8"/>
      <c r="B3112" s="38" t="s">
        <v>2685</v>
      </c>
      <c r="C3112" s="34" t="s">
        <v>2608</v>
      </c>
      <c r="D3112" s="14" t="s">
        <v>438</v>
      </c>
    </row>
    <row r="3113" spans="1:4" ht="15" customHeight="1">
      <c r="A3113" s="8"/>
      <c r="B3113" s="38" t="s">
        <v>2740</v>
      </c>
      <c r="C3113" s="34" t="s">
        <v>2608</v>
      </c>
      <c r="D3113" s="14" t="s">
        <v>2741</v>
      </c>
    </row>
    <row r="3114" spans="1:4" ht="15" customHeight="1">
      <c r="A3114" s="8"/>
      <c r="B3114" s="38" t="s">
        <v>2711</v>
      </c>
      <c r="C3114" s="36">
        <v>8</v>
      </c>
      <c r="D3114" s="14" t="s">
        <v>2377</v>
      </c>
    </row>
    <row r="3115" spans="1:4" ht="15" customHeight="1">
      <c r="A3115" s="8"/>
      <c r="B3115" s="38" t="s">
        <v>2747</v>
      </c>
      <c r="C3115" s="36">
        <v>1</v>
      </c>
      <c r="D3115" s="14" t="s">
        <v>2595</v>
      </c>
    </row>
    <row r="3116" spans="1:4" ht="15" customHeight="1">
      <c r="A3116" s="8"/>
      <c r="B3116" s="38" t="s">
        <v>2750</v>
      </c>
      <c r="C3116" s="36">
        <v>3</v>
      </c>
      <c r="D3116" s="14" t="s">
        <v>2293</v>
      </c>
    </row>
    <row r="3117" spans="1:4" ht="15" customHeight="1">
      <c r="A3117" s="8"/>
      <c r="B3117" s="38" t="s">
        <v>2748</v>
      </c>
      <c r="C3117" s="36">
        <v>2</v>
      </c>
      <c r="D3117" s="14" t="s">
        <v>1117</v>
      </c>
    </row>
    <row r="3118" spans="1:4" ht="15" customHeight="1">
      <c r="A3118" s="8"/>
      <c r="B3118" s="38" t="s">
        <v>2749</v>
      </c>
      <c r="C3118" s="36">
        <v>2</v>
      </c>
      <c r="D3118" s="14" t="s">
        <v>1119</v>
      </c>
    </row>
    <row r="3119" spans="1:4" ht="15" customHeight="1">
      <c r="A3119" s="8"/>
      <c r="B3119" s="38" t="s">
        <v>2687</v>
      </c>
      <c r="C3119" s="36">
        <v>2</v>
      </c>
      <c r="D3119" s="14" t="s">
        <v>1103</v>
      </c>
    </row>
    <row r="3120" spans="1:4" ht="15" customHeight="1">
      <c r="A3120" s="8"/>
      <c r="B3120" s="38" t="s">
        <v>2675</v>
      </c>
      <c r="C3120" s="36">
        <v>4</v>
      </c>
      <c r="D3120" s="14" t="s">
        <v>1105</v>
      </c>
    </row>
    <row r="3121" spans="1:4" ht="15" customHeight="1">
      <c r="A3121" s="8"/>
      <c r="B3121" s="39" t="s">
        <v>2676</v>
      </c>
      <c r="C3121" s="32">
        <v>3</v>
      </c>
      <c r="D3121" s="14" t="s">
        <v>530</v>
      </c>
    </row>
    <row r="3122" spans="1:4" ht="19.5" customHeight="1">
      <c r="A3122" s="8" t="s">
        <v>1619</v>
      </c>
      <c r="B3122" s="37" t="s">
        <v>2737</v>
      </c>
      <c r="C3122" s="34" t="s">
        <v>2608</v>
      </c>
      <c r="D3122" s="14" t="s">
        <v>1826</v>
      </c>
    </row>
    <row r="3123" spans="1:4" ht="19.5" customHeight="1">
      <c r="A3123" s="8"/>
      <c r="B3123" s="38" t="s">
        <v>2738</v>
      </c>
      <c r="C3123" s="34" t="s">
        <v>2608</v>
      </c>
      <c r="D3123" s="14" t="s">
        <v>1834</v>
      </c>
    </row>
    <row r="3124" spans="1:4" ht="19.5" customHeight="1">
      <c r="A3124" s="8"/>
      <c r="B3124" s="24" t="s">
        <v>420</v>
      </c>
      <c r="C3124" s="30" t="s">
        <v>2739</v>
      </c>
      <c r="D3124" s="14" t="s">
        <v>422</v>
      </c>
    </row>
    <row r="3125" spans="1:4" ht="19.5" customHeight="1">
      <c r="A3125" s="8"/>
      <c r="B3125" s="24" t="s">
        <v>420</v>
      </c>
      <c r="C3125" s="30" t="s">
        <v>2609</v>
      </c>
      <c r="D3125" s="14" t="s">
        <v>422</v>
      </c>
    </row>
    <row r="3126" spans="1:4" ht="19.5" customHeight="1">
      <c r="A3126" s="8"/>
      <c r="B3126" s="24" t="s">
        <v>420</v>
      </c>
      <c r="C3126" s="30" t="s">
        <v>2609</v>
      </c>
      <c r="D3126" s="14" t="s">
        <v>422</v>
      </c>
    </row>
    <row r="3127" spans="1:4" ht="19.5" customHeight="1">
      <c r="A3127" s="8"/>
      <c r="B3127" s="38" t="s">
        <v>2740</v>
      </c>
      <c r="C3127" s="34" t="s">
        <v>2608</v>
      </c>
      <c r="D3127" s="14" t="s">
        <v>2741</v>
      </c>
    </row>
    <row r="3128" spans="1:4" ht="19.5" customHeight="1">
      <c r="A3128" s="8"/>
      <c r="B3128" s="38" t="s">
        <v>2711</v>
      </c>
      <c r="C3128" s="36">
        <v>2</v>
      </c>
      <c r="D3128" s="14" t="s">
        <v>2377</v>
      </c>
    </row>
    <row r="3129" spans="1:4" ht="19.5" customHeight="1">
      <c r="A3129" s="8"/>
      <c r="B3129" s="38" t="s">
        <v>2691</v>
      </c>
      <c r="C3129" s="36">
        <v>1</v>
      </c>
      <c r="D3129" s="14" t="s">
        <v>2284</v>
      </c>
    </row>
    <row r="3130" spans="1:4" ht="19.5" customHeight="1">
      <c r="A3130" s="8"/>
      <c r="B3130" s="38" t="s">
        <v>2692</v>
      </c>
      <c r="C3130" s="36">
        <v>1</v>
      </c>
      <c r="D3130" s="14" t="s">
        <v>1125</v>
      </c>
    </row>
    <row r="3131" spans="1:4" ht="19.5" customHeight="1">
      <c r="A3131" s="8"/>
      <c r="B3131" s="38" t="s">
        <v>2675</v>
      </c>
      <c r="C3131" s="36">
        <v>2</v>
      </c>
      <c r="D3131" s="14" t="s">
        <v>1105</v>
      </c>
    </row>
    <row r="3132" spans="1:4" ht="15" customHeight="1">
      <c r="A3132" s="8"/>
      <c r="B3132" s="39" t="s">
        <v>2676</v>
      </c>
      <c r="C3132" s="32">
        <v>1</v>
      </c>
      <c r="D3132" s="14" t="s">
        <v>530</v>
      </c>
    </row>
    <row r="3133" spans="1:4" ht="15" customHeight="1">
      <c r="A3133" s="8" t="s">
        <v>1621</v>
      </c>
      <c r="B3133" s="37" t="s">
        <v>2743</v>
      </c>
      <c r="C3133" s="34" t="s">
        <v>2608</v>
      </c>
      <c r="D3133" s="14" t="s">
        <v>1822</v>
      </c>
    </row>
    <row r="3134" spans="1:4" ht="19.5" customHeight="1">
      <c r="A3134" s="8"/>
      <c r="B3134" s="38" t="s">
        <v>2738</v>
      </c>
      <c r="C3134" s="34" t="s">
        <v>2608</v>
      </c>
      <c r="D3134" s="14" t="s">
        <v>1834</v>
      </c>
    </row>
    <row r="3135" spans="1:4" ht="15" customHeight="1">
      <c r="A3135" s="8"/>
      <c r="B3135" s="24" t="s">
        <v>420</v>
      </c>
      <c r="C3135" s="30" t="s">
        <v>2739</v>
      </c>
      <c r="D3135" s="14" t="s">
        <v>422</v>
      </c>
    </row>
    <row r="3136" spans="1:4" ht="15" customHeight="1">
      <c r="A3136" s="8"/>
      <c r="B3136" s="24" t="s">
        <v>420</v>
      </c>
      <c r="C3136" s="30" t="s">
        <v>2609</v>
      </c>
      <c r="D3136" s="14" t="s">
        <v>422</v>
      </c>
    </row>
    <row r="3137" spans="1:4" ht="15" customHeight="1">
      <c r="A3137" s="8"/>
      <c r="B3137" s="24" t="s">
        <v>420</v>
      </c>
      <c r="C3137" s="30" t="s">
        <v>2609</v>
      </c>
      <c r="D3137" s="14" t="s">
        <v>422</v>
      </c>
    </row>
    <row r="3138" spans="1:4" ht="15" customHeight="1">
      <c r="A3138" s="8"/>
      <c r="B3138" s="38" t="s">
        <v>2740</v>
      </c>
      <c r="C3138" s="34" t="s">
        <v>2608</v>
      </c>
      <c r="D3138" s="14" t="s">
        <v>2741</v>
      </c>
    </row>
    <row r="3139" spans="1:4" ht="15" customHeight="1">
      <c r="A3139" s="8"/>
      <c r="B3139" s="38" t="s">
        <v>2711</v>
      </c>
      <c r="C3139" s="36">
        <v>2</v>
      </c>
      <c r="D3139" s="14" t="s">
        <v>2377</v>
      </c>
    </row>
    <row r="3140" spans="1:4" ht="15" customHeight="1">
      <c r="A3140" s="8"/>
      <c r="B3140" s="38" t="s">
        <v>2691</v>
      </c>
      <c r="C3140" s="36">
        <v>1</v>
      </c>
      <c r="D3140" s="14" t="s">
        <v>2284</v>
      </c>
    </row>
    <row r="3141" spans="1:4" ht="15" customHeight="1">
      <c r="A3141" s="8"/>
      <c r="B3141" s="38" t="s">
        <v>2692</v>
      </c>
      <c r="C3141" s="36">
        <v>1</v>
      </c>
      <c r="D3141" s="14" t="s">
        <v>1125</v>
      </c>
    </row>
    <row r="3142" spans="1:4" ht="15" customHeight="1">
      <c r="A3142" s="8"/>
      <c r="B3142" s="38" t="s">
        <v>2675</v>
      </c>
      <c r="C3142" s="36">
        <v>2</v>
      </c>
      <c r="D3142" s="14" t="s">
        <v>1105</v>
      </c>
    </row>
    <row r="3143" spans="1:4" ht="15" customHeight="1">
      <c r="A3143" s="8"/>
      <c r="B3143" s="39" t="s">
        <v>2676</v>
      </c>
      <c r="C3143" s="32">
        <v>1</v>
      </c>
      <c r="D3143" s="14" t="s">
        <v>530</v>
      </c>
    </row>
    <row r="3144" spans="1:4" ht="19.5" customHeight="1">
      <c r="A3144" s="35"/>
      <c r="B3144" s="38"/>
      <c r="C3144" s="36"/>
      <c r="D3144" s="14"/>
    </row>
    <row r="3145" spans="1:4" ht="19.5" customHeight="1">
      <c r="A3145" s="35"/>
      <c r="B3145" s="38"/>
      <c r="C3145" s="36"/>
      <c r="D3145" s="14"/>
    </row>
    <row r="3146" spans="1:4" ht="19.5" customHeight="1">
      <c r="A3146" s="35"/>
      <c r="B3146" s="38"/>
      <c r="C3146" s="36"/>
      <c r="D3146" s="14"/>
    </row>
    <row r="3147" spans="1:4" ht="19.5" customHeight="1">
      <c r="A3147" s="35"/>
      <c r="B3147" s="38"/>
      <c r="C3147" s="36"/>
      <c r="D3147" s="14"/>
    </row>
    <row r="3148" spans="1:4" ht="19.5" customHeight="1">
      <c r="A3148" s="35"/>
      <c r="B3148" s="38"/>
      <c r="C3148" s="36"/>
      <c r="D3148" s="14"/>
    </row>
    <row r="3149" spans="1:4" ht="19.5" customHeight="1">
      <c r="A3149" s="8" t="s">
        <v>1623</v>
      </c>
      <c r="B3149" s="37" t="s">
        <v>2737</v>
      </c>
      <c r="C3149" s="34" t="s">
        <v>2608</v>
      </c>
      <c r="D3149" s="14" t="s">
        <v>1826</v>
      </c>
    </row>
    <row r="3150" spans="1:4" ht="19.5" customHeight="1">
      <c r="A3150" s="8"/>
      <c r="B3150" s="38" t="s">
        <v>2738</v>
      </c>
      <c r="C3150" s="34" t="s">
        <v>2608</v>
      </c>
      <c r="D3150" s="14" t="s">
        <v>1834</v>
      </c>
    </row>
    <row r="3151" spans="1:4" ht="19.5" customHeight="1">
      <c r="A3151" s="8"/>
      <c r="B3151" s="24" t="s">
        <v>420</v>
      </c>
      <c r="C3151" s="30" t="s">
        <v>2739</v>
      </c>
      <c r="D3151" s="14" t="s">
        <v>422</v>
      </c>
    </row>
    <row r="3152" spans="1:4" ht="19.5" customHeight="1">
      <c r="A3152" s="8"/>
      <c r="B3152" s="24" t="s">
        <v>420</v>
      </c>
      <c r="C3152" s="30" t="s">
        <v>2609</v>
      </c>
      <c r="D3152" s="14" t="s">
        <v>422</v>
      </c>
    </row>
    <row r="3153" spans="1:4" ht="19.5" customHeight="1">
      <c r="A3153" s="8"/>
      <c r="B3153" s="24" t="s">
        <v>420</v>
      </c>
      <c r="C3153" s="30" t="s">
        <v>2609</v>
      </c>
      <c r="D3153" s="14" t="s">
        <v>422</v>
      </c>
    </row>
    <row r="3154" spans="1:4" ht="19.5" customHeight="1">
      <c r="A3154" s="8"/>
      <c r="B3154" s="38" t="s">
        <v>2740</v>
      </c>
      <c r="C3154" s="34" t="s">
        <v>2608</v>
      </c>
      <c r="D3154" s="14" t="s">
        <v>2741</v>
      </c>
    </row>
    <row r="3155" spans="1:4" ht="19.5" customHeight="1">
      <c r="A3155" s="8"/>
      <c r="B3155" s="24" t="s">
        <v>420</v>
      </c>
      <c r="C3155" s="30" t="s">
        <v>2609</v>
      </c>
      <c r="D3155" s="14" t="s">
        <v>422</v>
      </c>
    </row>
    <row r="3156" spans="1:4" ht="19.5" customHeight="1">
      <c r="A3156" s="8"/>
      <c r="B3156" s="38" t="s">
        <v>2694</v>
      </c>
      <c r="C3156" s="34" t="s">
        <v>2608</v>
      </c>
      <c r="D3156" s="14" t="s">
        <v>1846</v>
      </c>
    </row>
    <row r="3157" spans="1:4" ht="19.5" customHeight="1">
      <c r="A3157" s="8"/>
      <c r="B3157" s="38" t="s">
        <v>2711</v>
      </c>
      <c r="C3157" s="36">
        <v>4</v>
      </c>
      <c r="D3157" s="14" t="s">
        <v>2377</v>
      </c>
    </row>
    <row r="3158" spans="1:4" ht="19.5" customHeight="1">
      <c r="A3158" s="8"/>
      <c r="B3158" s="38" t="s">
        <v>2691</v>
      </c>
      <c r="C3158" s="36">
        <v>2</v>
      </c>
      <c r="D3158" s="14" t="s">
        <v>2284</v>
      </c>
    </row>
    <row r="3159" spans="1:4" ht="19.5" customHeight="1">
      <c r="A3159" s="8"/>
      <c r="B3159" s="38" t="s">
        <v>2695</v>
      </c>
      <c r="C3159" s="36">
        <v>1</v>
      </c>
      <c r="D3159" s="14" t="s">
        <v>1111</v>
      </c>
    </row>
    <row r="3160" spans="1:4" ht="19.5" customHeight="1">
      <c r="A3160" s="8"/>
      <c r="B3160" s="38" t="s">
        <v>2692</v>
      </c>
      <c r="C3160" s="36">
        <v>2</v>
      </c>
      <c r="D3160" s="14" t="s">
        <v>1125</v>
      </c>
    </row>
    <row r="3161" spans="1:4" ht="19.5" customHeight="1">
      <c r="A3161" s="8"/>
      <c r="B3161" s="38" t="s">
        <v>2675</v>
      </c>
      <c r="C3161" s="36">
        <v>4</v>
      </c>
      <c r="D3161" s="14" t="s">
        <v>1105</v>
      </c>
    </row>
    <row r="3162" spans="1:4" ht="19.5" customHeight="1">
      <c r="A3162" s="8"/>
      <c r="B3162" s="39" t="s">
        <v>2676</v>
      </c>
      <c r="C3162" s="32">
        <v>2</v>
      </c>
      <c r="D3162" s="14" t="s">
        <v>530</v>
      </c>
    </row>
    <row r="3163" spans="1:4" ht="19.5" customHeight="1">
      <c r="A3163" s="8" t="s">
        <v>1625</v>
      </c>
      <c r="B3163" s="37" t="s">
        <v>2743</v>
      </c>
      <c r="C3163" s="34" t="s">
        <v>2608</v>
      </c>
      <c r="D3163" s="14" t="s">
        <v>1822</v>
      </c>
    </row>
    <row r="3164" spans="1:4" ht="19.5" customHeight="1">
      <c r="A3164" s="8"/>
      <c r="B3164" s="38" t="s">
        <v>2738</v>
      </c>
      <c r="C3164" s="34" t="s">
        <v>2608</v>
      </c>
      <c r="D3164" s="14" t="s">
        <v>1834</v>
      </c>
    </row>
    <row r="3165" spans="1:4" ht="15" customHeight="1">
      <c r="A3165" s="8"/>
      <c r="B3165" s="24" t="s">
        <v>420</v>
      </c>
      <c r="C3165" s="30" t="s">
        <v>2609</v>
      </c>
      <c r="D3165" s="14" t="s">
        <v>422</v>
      </c>
    </row>
    <row r="3166" spans="1:4" ht="15" customHeight="1">
      <c r="A3166" s="8"/>
      <c r="B3166" s="24" t="s">
        <v>420</v>
      </c>
      <c r="C3166" s="30" t="s">
        <v>2739</v>
      </c>
      <c r="D3166" s="14" t="s">
        <v>422</v>
      </c>
    </row>
    <row r="3167" spans="1:4" ht="15" customHeight="1">
      <c r="A3167" s="8"/>
      <c r="B3167" s="24" t="s">
        <v>420</v>
      </c>
      <c r="C3167" s="30" t="s">
        <v>2609</v>
      </c>
      <c r="D3167" s="14" t="s">
        <v>422</v>
      </c>
    </row>
    <row r="3168" spans="1:4" ht="15" customHeight="1">
      <c r="A3168" s="8"/>
      <c r="B3168" s="38" t="s">
        <v>2740</v>
      </c>
      <c r="C3168" s="34" t="s">
        <v>2608</v>
      </c>
      <c r="D3168" s="14" t="s">
        <v>2741</v>
      </c>
    </row>
    <row r="3169" spans="1:4" ht="15" customHeight="1">
      <c r="A3169" s="8"/>
      <c r="B3169" s="24" t="s">
        <v>420</v>
      </c>
      <c r="C3169" s="30" t="s">
        <v>2609</v>
      </c>
      <c r="D3169" s="14" t="s">
        <v>422</v>
      </c>
    </row>
    <row r="3170" spans="1:4" ht="15" customHeight="1">
      <c r="A3170" s="8"/>
      <c r="B3170" s="38" t="s">
        <v>2694</v>
      </c>
      <c r="C3170" s="34" t="s">
        <v>2608</v>
      </c>
      <c r="D3170" s="14" t="s">
        <v>1846</v>
      </c>
    </row>
    <row r="3171" spans="1:4" ht="19.5" customHeight="1">
      <c r="A3171" s="8"/>
      <c r="B3171" s="38" t="s">
        <v>2711</v>
      </c>
      <c r="C3171" s="36">
        <v>4</v>
      </c>
      <c r="D3171" s="14" t="s">
        <v>2377</v>
      </c>
    </row>
    <row r="3172" spans="1:4" ht="19.5" customHeight="1">
      <c r="A3172" s="8"/>
      <c r="B3172" s="38" t="s">
        <v>2691</v>
      </c>
      <c r="C3172" s="36">
        <v>2</v>
      </c>
      <c r="D3172" s="14" t="s">
        <v>2284</v>
      </c>
    </row>
    <row r="3173" spans="1:4" ht="19.5" customHeight="1">
      <c r="A3173" s="8"/>
      <c r="B3173" s="38" t="s">
        <v>2695</v>
      </c>
      <c r="C3173" s="36">
        <v>1</v>
      </c>
      <c r="D3173" s="14" t="s">
        <v>1111</v>
      </c>
    </row>
    <row r="3174" spans="1:4" ht="19.5" customHeight="1">
      <c r="A3174" s="8"/>
      <c r="B3174" s="38" t="s">
        <v>2692</v>
      </c>
      <c r="C3174" s="36">
        <v>2</v>
      </c>
      <c r="D3174" s="14" t="s">
        <v>1125</v>
      </c>
    </row>
    <row r="3175" spans="1:4" ht="19.5" customHeight="1">
      <c r="A3175" s="8"/>
      <c r="B3175" s="38" t="s">
        <v>2675</v>
      </c>
      <c r="C3175" s="36">
        <v>4</v>
      </c>
      <c r="D3175" s="14" t="s">
        <v>1105</v>
      </c>
    </row>
    <row r="3176" spans="1:4" ht="19.5" customHeight="1">
      <c r="A3176" s="8"/>
      <c r="B3176" s="39" t="s">
        <v>2676</v>
      </c>
      <c r="C3176" s="32">
        <v>2</v>
      </c>
      <c r="D3176" s="14" t="s">
        <v>530</v>
      </c>
    </row>
    <row r="3177" spans="1:4" ht="19.5" customHeight="1">
      <c r="A3177" s="35"/>
      <c r="B3177" s="38"/>
      <c r="C3177" s="36"/>
      <c r="D3177" s="14"/>
    </row>
    <row r="3178" spans="1:4" ht="19.5" customHeight="1">
      <c r="A3178" s="8" t="s">
        <v>1627</v>
      </c>
      <c r="B3178" s="37" t="s">
        <v>2737</v>
      </c>
      <c r="C3178" s="34" t="s">
        <v>2608</v>
      </c>
      <c r="D3178" s="14" t="s">
        <v>1826</v>
      </c>
    </row>
    <row r="3179" spans="1:4" ht="19.5" customHeight="1">
      <c r="A3179" s="8"/>
      <c r="B3179" s="38" t="s">
        <v>2738</v>
      </c>
      <c r="C3179" s="34" t="s">
        <v>2608</v>
      </c>
      <c r="D3179" s="14" t="s">
        <v>1834</v>
      </c>
    </row>
    <row r="3180" spans="1:4" ht="19.5" customHeight="1">
      <c r="A3180" s="8"/>
      <c r="B3180" s="24" t="s">
        <v>420</v>
      </c>
      <c r="C3180" s="30" t="s">
        <v>2609</v>
      </c>
      <c r="D3180" s="14" t="s">
        <v>422</v>
      </c>
    </row>
    <row r="3181" spans="1:4" ht="19.5" customHeight="1">
      <c r="A3181" s="8"/>
      <c r="B3181" s="24" t="s">
        <v>420</v>
      </c>
      <c r="C3181" s="30" t="s">
        <v>2739</v>
      </c>
      <c r="D3181" s="14" t="s">
        <v>422</v>
      </c>
    </row>
    <row r="3182" spans="1:4" ht="19.5" customHeight="1">
      <c r="A3182" s="8"/>
      <c r="B3182" s="24" t="s">
        <v>420</v>
      </c>
      <c r="C3182" s="30" t="s">
        <v>2609</v>
      </c>
      <c r="D3182" s="14" t="s">
        <v>422</v>
      </c>
    </row>
    <row r="3183" spans="1:4" ht="19.5" customHeight="1">
      <c r="A3183" s="8"/>
      <c r="B3183" s="24" t="s">
        <v>420</v>
      </c>
      <c r="C3183" s="30" t="s">
        <v>2609</v>
      </c>
      <c r="D3183" s="14" t="s">
        <v>422</v>
      </c>
    </row>
    <row r="3184" spans="1:4" ht="19.5" customHeight="1">
      <c r="A3184" s="8"/>
      <c r="B3184" s="38" t="s">
        <v>2740</v>
      </c>
      <c r="C3184" s="34" t="s">
        <v>2608</v>
      </c>
      <c r="D3184" s="14" t="s">
        <v>2741</v>
      </c>
    </row>
    <row r="3185" spans="1:4" ht="19.5" customHeight="1">
      <c r="A3185" s="8"/>
      <c r="B3185" s="38" t="s">
        <v>2694</v>
      </c>
      <c r="C3185" s="34" t="s">
        <v>2608</v>
      </c>
      <c r="D3185" s="14" t="s">
        <v>1846</v>
      </c>
    </row>
    <row r="3186" spans="1:4" ht="19.5" customHeight="1">
      <c r="A3186" s="8"/>
      <c r="B3186" s="38" t="s">
        <v>2711</v>
      </c>
      <c r="C3186" s="36">
        <v>2</v>
      </c>
      <c r="D3186" s="14" t="s">
        <v>2377</v>
      </c>
    </row>
    <row r="3187" spans="1:4" ht="19.5" customHeight="1">
      <c r="A3187" s="8"/>
      <c r="B3187" s="38" t="s">
        <v>2691</v>
      </c>
      <c r="C3187" s="36">
        <v>1</v>
      </c>
      <c r="D3187" s="14" t="s">
        <v>2284</v>
      </c>
    </row>
    <row r="3188" spans="1:4" ht="19.5" customHeight="1">
      <c r="A3188" s="8"/>
      <c r="B3188" s="38" t="s">
        <v>2695</v>
      </c>
      <c r="C3188" s="36">
        <v>1</v>
      </c>
      <c r="D3188" s="14" t="s">
        <v>1111</v>
      </c>
    </row>
    <row r="3189" spans="1:4" ht="19.5" customHeight="1">
      <c r="A3189" s="8"/>
      <c r="B3189" s="38" t="s">
        <v>2692</v>
      </c>
      <c r="C3189" s="36">
        <v>1</v>
      </c>
      <c r="D3189" s="14" t="s">
        <v>1125</v>
      </c>
    </row>
    <row r="3190" spans="1:4" ht="19.5" customHeight="1">
      <c r="A3190" s="8"/>
      <c r="B3190" s="38" t="s">
        <v>2675</v>
      </c>
      <c r="C3190" s="36">
        <v>2</v>
      </c>
      <c r="D3190" s="14" t="s">
        <v>1105</v>
      </c>
    </row>
    <row r="3191" spans="1:4" ht="19.5" customHeight="1">
      <c r="A3191" s="8"/>
      <c r="B3191" s="39" t="s">
        <v>2676</v>
      </c>
      <c r="C3191" s="32">
        <v>1</v>
      </c>
      <c r="D3191" s="14" t="s">
        <v>530</v>
      </c>
    </row>
    <row r="3192" spans="1:4" ht="15" customHeight="1">
      <c r="A3192" s="8" t="s">
        <v>1629</v>
      </c>
      <c r="B3192" s="37" t="s">
        <v>2743</v>
      </c>
      <c r="C3192" s="34" t="s">
        <v>2608</v>
      </c>
      <c r="D3192" s="14" t="s">
        <v>1822</v>
      </c>
    </row>
    <row r="3193" spans="1:4" ht="15" customHeight="1">
      <c r="A3193" s="8"/>
      <c r="B3193" s="38" t="s">
        <v>2738</v>
      </c>
      <c r="C3193" s="34" t="s">
        <v>2608</v>
      </c>
      <c r="D3193" s="14" t="s">
        <v>1834</v>
      </c>
    </row>
    <row r="3194" spans="1:4" ht="15" customHeight="1">
      <c r="A3194" s="8"/>
      <c r="B3194" s="24" t="s">
        <v>420</v>
      </c>
      <c r="C3194" s="30" t="s">
        <v>2739</v>
      </c>
      <c r="D3194" s="14" t="s">
        <v>422</v>
      </c>
    </row>
    <row r="3195" spans="1:4" ht="15" customHeight="1">
      <c r="A3195" s="8"/>
      <c r="B3195" s="24" t="s">
        <v>420</v>
      </c>
      <c r="C3195" s="30" t="s">
        <v>2609</v>
      </c>
      <c r="D3195" s="14" t="s">
        <v>422</v>
      </c>
    </row>
    <row r="3196" spans="1:4" ht="15" customHeight="1">
      <c r="A3196" s="8"/>
      <c r="B3196" s="24" t="s">
        <v>420</v>
      </c>
      <c r="C3196" s="30" t="s">
        <v>2609</v>
      </c>
      <c r="D3196" s="14" t="s">
        <v>422</v>
      </c>
    </row>
    <row r="3197" spans="1:4" ht="15" customHeight="1">
      <c r="A3197" s="8"/>
      <c r="B3197" s="24" t="s">
        <v>420</v>
      </c>
      <c r="C3197" s="30" t="s">
        <v>2609</v>
      </c>
      <c r="D3197" s="14" t="s">
        <v>422</v>
      </c>
    </row>
    <row r="3198" spans="1:4" ht="15" customHeight="1">
      <c r="A3198" s="8"/>
      <c r="B3198" s="38" t="s">
        <v>2740</v>
      </c>
      <c r="C3198" s="34" t="s">
        <v>2608</v>
      </c>
      <c r="D3198" s="14" t="s">
        <v>2741</v>
      </c>
    </row>
    <row r="3199" spans="1:4" ht="15" customHeight="1">
      <c r="A3199" s="8"/>
      <c r="B3199" s="38" t="s">
        <v>2694</v>
      </c>
      <c r="C3199" s="34" t="s">
        <v>2608</v>
      </c>
      <c r="D3199" s="14" t="s">
        <v>1846</v>
      </c>
    </row>
    <row r="3200" spans="1:4" ht="15" customHeight="1">
      <c r="A3200" s="8"/>
      <c r="B3200" s="38" t="s">
        <v>2711</v>
      </c>
      <c r="C3200" s="36">
        <v>2</v>
      </c>
      <c r="D3200" s="14" t="s">
        <v>2377</v>
      </c>
    </row>
    <row r="3201" spans="1:4" ht="15" customHeight="1">
      <c r="A3201" s="8"/>
      <c r="B3201" s="38" t="s">
        <v>2691</v>
      </c>
      <c r="C3201" s="36">
        <v>1</v>
      </c>
      <c r="D3201" s="14" t="s">
        <v>2284</v>
      </c>
    </row>
    <row r="3202" spans="1:4" ht="15" customHeight="1">
      <c r="A3202" s="8"/>
      <c r="B3202" s="38" t="s">
        <v>2695</v>
      </c>
      <c r="C3202" s="36">
        <v>1</v>
      </c>
      <c r="D3202" s="14" t="s">
        <v>1111</v>
      </c>
    </row>
    <row r="3203" spans="1:4" ht="15" customHeight="1">
      <c r="A3203" s="8"/>
      <c r="B3203" s="38" t="s">
        <v>2692</v>
      </c>
      <c r="C3203" s="36">
        <v>1</v>
      </c>
      <c r="D3203" s="14" t="s">
        <v>1125</v>
      </c>
    </row>
    <row r="3204" spans="1:4" ht="15" customHeight="1">
      <c r="A3204" s="8"/>
      <c r="B3204" s="38" t="s">
        <v>2675</v>
      </c>
      <c r="C3204" s="36">
        <v>2</v>
      </c>
      <c r="D3204" s="14" t="s">
        <v>1105</v>
      </c>
    </row>
    <row r="3205" spans="1:4" ht="15" customHeight="1">
      <c r="A3205" s="8"/>
      <c r="B3205" s="39" t="s">
        <v>2676</v>
      </c>
      <c r="C3205" s="32">
        <v>1</v>
      </c>
      <c r="D3205" s="14" t="s">
        <v>530</v>
      </c>
    </row>
    <row r="3206" spans="1:4" ht="15" customHeight="1">
      <c r="A3206" s="35"/>
      <c r="B3206" s="38"/>
      <c r="C3206" s="36"/>
      <c r="D3206" s="14"/>
    </row>
    <row r="3207" spans="1:4" ht="15" customHeight="1">
      <c r="A3207" s="8" t="s">
        <v>1631</v>
      </c>
      <c r="B3207" s="37" t="s">
        <v>2737</v>
      </c>
      <c r="C3207" s="34" t="s">
        <v>2608</v>
      </c>
      <c r="D3207" s="14" t="s">
        <v>1826</v>
      </c>
    </row>
    <row r="3208" spans="1:4" ht="15" customHeight="1">
      <c r="A3208" s="8"/>
      <c r="B3208" s="38" t="s">
        <v>2738</v>
      </c>
      <c r="C3208" s="34" t="s">
        <v>2608</v>
      </c>
      <c r="D3208" s="14" t="s">
        <v>1834</v>
      </c>
    </row>
    <row r="3209" spans="1:4" ht="15" customHeight="1">
      <c r="A3209" s="8"/>
      <c r="B3209" s="24" t="s">
        <v>420</v>
      </c>
      <c r="C3209" s="30" t="s">
        <v>2739</v>
      </c>
      <c r="D3209" s="14" t="s">
        <v>422</v>
      </c>
    </row>
    <row r="3210" spans="1:4" ht="15" customHeight="1">
      <c r="A3210" s="8"/>
      <c r="B3210" s="24" t="s">
        <v>420</v>
      </c>
      <c r="C3210" s="30" t="s">
        <v>2609</v>
      </c>
      <c r="D3210" s="14" t="s">
        <v>422</v>
      </c>
    </row>
    <row r="3211" spans="1:4" ht="15" customHeight="1">
      <c r="A3211" s="8"/>
      <c r="B3211" s="24" t="s">
        <v>420</v>
      </c>
      <c r="C3211" s="30" t="s">
        <v>2609</v>
      </c>
      <c r="D3211" s="14" t="s">
        <v>422</v>
      </c>
    </row>
    <row r="3212" spans="1:4" ht="15" customHeight="1">
      <c r="A3212" s="8"/>
      <c r="B3212" s="24" t="s">
        <v>420</v>
      </c>
      <c r="C3212" s="30" t="s">
        <v>2609</v>
      </c>
      <c r="D3212" s="14" t="s">
        <v>422</v>
      </c>
    </row>
    <row r="3213" spans="1:4" ht="15" customHeight="1">
      <c r="A3213" s="8"/>
      <c r="B3213" s="38" t="s">
        <v>2740</v>
      </c>
      <c r="C3213" s="34" t="s">
        <v>2608</v>
      </c>
      <c r="D3213" s="14" t="s">
        <v>2741</v>
      </c>
    </row>
    <row r="3214" spans="1:4" ht="19.5" customHeight="1">
      <c r="A3214" s="8"/>
      <c r="B3214" s="38" t="s">
        <v>2694</v>
      </c>
      <c r="C3214" s="34" t="s">
        <v>2608</v>
      </c>
      <c r="D3214" s="14" t="s">
        <v>1846</v>
      </c>
    </row>
    <row r="3215" spans="1:4" ht="19.5" customHeight="1">
      <c r="A3215" s="8"/>
      <c r="B3215" s="38" t="s">
        <v>2711</v>
      </c>
      <c r="C3215" s="36">
        <v>2</v>
      </c>
      <c r="D3215" s="14" t="s">
        <v>2377</v>
      </c>
    </row>
    <row r="3216" spans="1:4" ht="15" customHeight="1">
      <c r="A3216" s="8"/>
      <c r="B3216" s="38" t="s">
        <v>2691</v>
      </c>
      <c r="C3216" s="36">
        <v>1</v>
      </c>
      <c r="D3216" s="14" t="s">
        <v>2284</v>
      </c>
    </row>
    <row r="3217" spans="1:4" ht="15" customHeight="1">
      <c r="A3217" s="8"/>
      <c r="B3217" s="38" t="s">
        <v>2695</v>
      </c>
      <c r="C3217" s="36">
        <v>2</v>
      </c>
      <c r="D3217" s="14" t="s">
        <v>1111</v>
      </c>
    </row>
    <row r="3218" spans="1:4" ht="15" customHeight="1">
      <c r="A3218" s="8"/>
      <c r="B3218" s="38" t="s">
        <v>2692</v>
      </c>
      <c r="C3218" s="36">
        <v>1</v>
      </c>
      <c r="D3218" s="14" t="s">
        <v>1125</v>
      </c>
    </row>
    <row r="3219" spans="1:4" ht="15" customHeight="1">
      <c r="A3219" s="8"/>
      <c r="B3219" s="38" t="s">
        <v>2675</v>
      </c>
      <c r="C3219" s="36">
        <v>2</v>
      </c>
      <c r="D3219" s="14" t="s">
        <v>1105</v>
      </c>
    </row>
    <row r="3220" spans="1:4" ht="15" customHeight="1">
      <c r="A3220" s="8"/>
      <c r="B3220" s="39" t="s">
        <v>2676</v>
      </c>
      <c r="C3220" s="32">
        <v>1</v>
      </c>
      <c r="D3220" s="14" t="s">
        <v>530</v>
      </c>
    </row>
    <row r="3221" spans="1:4" ht="15" customHeight="1">
      <c r="A3221" s="8" t="s">
        <v>1633</v>
      </c>
      <c r="B3221" s="37" t="s">
        <v>2743</v>
      </c>
      <c r="C3221" s="34" t="s">
        <v>2608</v>
      </c>
      <c r="D3221" s="14" t="s">
        <v>1822</v>
      </c>
    </row>
    <row r="3222" spans="1:4" ht="15" customHeight="1">
      <c r="A3222" s="8"/>
      <c r="B3222" s="38" t="s">
        <v>2738</v>
      </c>
      <c r="C3222" s="34" t="s">
        <v>2608</v>
      </c>
      <c r="D3222" s="14" t="s">
        <v>1834</v>
      </c>
    </row>
    <row r="3223" spans="1:4" ht="15" customHeight="1">
      <c r="A3223" s="8"/>
      <c r="B3223" s="24" t="s">
        <v>420</v>
      </c>
      <c r="C3223" s="30" t="s">
        <v>2609</v>
      </c>
      <c r="D3223" s="14" t="s">
        <v>422</v>
      </c>
    </row>
    <row r="3224" spans="1:4" ht="19.5" customHeight="1">
      <c r="A3224" s="8"/>
      <c r="B3224" s="24" t="s">
        <v>420</v>
      </c>
      <c r="C3224" s="30" t="s">
        <v>2739</v>
      </c>
      <c r="D3224" s="14" t="s">
        <v>422</v>
      </c>
    </row>
    <row r="3225" spans="1:4" ht="15" customHeight="1">
      <c r="A3225" s="8"/>
      <c r="B3225" s="24" t="s">
        <v>420</v>
      </c>
      <c r="C3225" s="30" t="s">
        <v>2609</v>
      </c>
      <c r="D3225" s="14" t="s">
        <v>422</v>
      </c>
    </row>
    <row r="3226" spans="1:4" ht="15" customHeight="1">
      <c r="A3226" s="8"/>
      <c r="B3226" s="24" t="s">
        <v>420</v>
      </c>
      <c r="C3226" s="30" t="s">
        <v>2609</v>
      </c>
      <c r="D3226" s="14" t="s">
        <v>422</v>
      </c>
    </row>
    <row r="3227" spans="1:4" ht="15" customHeight="1">
      <c r="A3227" s="8"/>
      <c r="B3227" s="38" t="s">
        <v>2740</v>
      </c>
      <c r="C3227" s="34" t="s">
        <v>2608</v>
      </c>
      <c r="D3227" s="14" t="s">
        <v>2741</v>
      </c>
    </row>
    <row r="3228" spans="1:4" ht="15" customHeight="1">
      <c r="A3228" s="8"/>
      <c r="B3228" s="38" t="s">
        <v>2694</v>
      </c>
      <c r="C3228" s="34" t="s">
        <v>2608</v>
      </c>
      <c r="D3228" s="14" t="s">
        <v>1846</v>
      </c>
    </row>
    <row r="3229" spans="1:4" ht="15" customHeight="1">
      <c r="A3229" s="8"/>
      <c r="B3229" s="38" t="s">
        <v>2711</v>
      </c>
      <c r="C3229" s="36">
        <v>2</v>
      </c>
      <c r="D3229" s="14" t="s">
        <v>2377</v>
      </c>
    </row>
    <row r="3230" spans="1:4" ht="15" customHeight="1">
      <c r="A3230" s="8"/>
      <c r="B3230" s="38" t="s">
        <v>2691</v>
      </c>
      <c r="C3230" s="36">
        <v>1</v>
      </c>
      <c r="D3230" s="14" t="s">
        <v>2284</v>
      </c>
    </row>
    <row r="3231" spans="1:4" ht="15" customHeight="1">
      <c r="A3231" s="8"/>
      <c r="B3231" s="38" t="s">
        <v>2695</v>
      </c>
      <c r="C3231" s="36">
        <v>2</v>
      </c>
      <c r="D3231" s="14" t="s">
        <v>1111</v>
      </c>
    </row>
    <row r="3232" spans="1:4" ht="15" customHeight="1">
      <c r="A3232" s="8"/>
      <c r="B3232" s="38" t="s">
        <v>2692</v>
      </c>
      <c r="C3232" s="36">
        <v>1</v>
      </c>
      <c r="D3232" s="14" t="s">
        <v>1125</v>
      </c>
    </row>
    <row r="3233" spans="1:4" ht="15" customHeight="1">
      <c r="A3233" s="8"/>
      <c r="B3233" s="38" t="s">
        <v>2675</v>
      </c>
      <c r="C3233" s="36">
        <v>2</v>
      </c>
      <c r="D3233" s="14" t="s">
        <v>1105</v>
      </c>
    </row>
    <row r="3234" spans="1:4" ht="19.5" customHeight="1">
      <c r="A3234" s="8"/>
      <c r="B3234" s="39" t="s">
        <v>2676</v>
      </c>
      <c r="C3234" s="32">
        <v>1</v>
      </c>
      <c r="D3234" s="14" t="s">
        <v>530</v>
      </c>
    </row>
    <row r="3235" spans="1:4" ht="19.5" customHeight="1">
      <c r="A3235" s="8" t="s">
        <v>1635</v>
      </c>
      <c r="B3235" s="37" t="s">
        <v>2737</v>
      </c>
      <c r="C3235" s="34" t="s">
        <v>2608</v>
      </c>
      <c r="D3235" s="14" t="s">
        <v>1826</v>
      </c>
    </row>
    <row r="3236" spans="1:4" ht="15" customHeight="1">
      <c r="A3236" s="8"/>
      <c r="B3236" s="38" t="s">
        <v>2738</v>
      </c>
      <c r="C3236" s="34" t="s">
        <v>2608</v>
      </c>
      <c r="D3236" s="14" t="s">
        <v>1834</v>
      </c>
    </row>
    <row r="3237" spans="1:4" ht="19.5" customHeight="1">
      <c r="A3237" s="8"/>
      <c r="B3237" s="24" t="s">
        <v>420</v>
      </c>
      <c r="C3237" s="30" t="s">
        <v>2609</v>
      </c>
      <c r="D3237" s="14" t="s">
        <v>422</v>
      </c>
    </row>
    <row r="3238" spans="1:4" ht="15" customHeight="1">
      <c r="A3238" s="8"/>
      <c r="B3238" s="24" t="s">
        <v>420</v>
      </c>
      <c r="C3238" s="30" t="s">
        <v>2739</v>
      </c>
      <c r="D3238" s="14" t="s">
        <v>422</v>
      </c>
    </row>
    <row r="3239" spans="1:4" ht="15" customHeight="1">
      <c r="A3239" s="8"/>
      <c r="B3239" s="24" t="s">
        <v>420</v>
      </c>
      <c r="C3239" s="30" t="s">
        <v>2609</v>
      </c>
      <c r="D3239" s="14" t="s">
        <v>422</v>
      </c>
    </row>
    <row r="3240" spans="1:4" ht="15" customHeight="1">
      <c r="A3240" s="8"/>
      <c r="B3240" s="24" t="s">
        <v>420</v>
      </c>
      <c r="C3240" s="30" t="s">
        <v>2609</v>
      </c>
      <c r="D3240" s="14" t="s">
        <v>422</v>
      </c>
    </row>
    <row r="3241" spans="1:4" ht="15" customHeight="1">
      <c r="A3241" s="8"/>
      <c r="B3241" s="38" t="s">
        <v>2740</v>
      </c>
      <c r="C3241" s="34" t="s">
        <v>2608</v>
      </c>
      <c r="D3241" s="14" t="s">
        <v>2741</v>
      </c>
    </row>
    <row r="3242" spans="1:4" ht="15" customHeight="1">
      <c r="A3242" s="8"/>
      <c r="B3242" s="38" t="s">
        <v>2694</v>
      </c>
      <c r="C3242" s="34" t="s">
        <v>2608</v>
      </c>
      <c r="D3242" s="14" t="s">
        <v>1846</v>
      </c>
    </row>
    <row r="3243" spans="1:4" ht="15" customHeight="1">
      <c r="A3243" s="8"/>
      <c r="B3243" s="38" t="s">
        <v>2711</v>
      </c>
      <c r="C3243" s="36">
        <v>2</v>
      </c>
      <c r="D3243" s="14" t="s">
        <v>2377</v>
      </c>
    </row>
    <row r="3244" spans="1:4" ht="15" customHeight="1">
      <c r="A3244" s="8"/>
      <c r="B3244" s="38" t="s">
        <v>2691</v>
      </c>
      <c r="C3244" s="36">
        <v>1</v>
      </c>
      <c r="D3244" s="14" t="s">
        <v>2284</v>
      </c>
    </row>
    <row r="3245" spans="1:4" ht="15" customHeight="1">
      <c r="A3245" s="8"/>
      <c r="B3245" s="38" t="s">
        <v>2695</v>
      </c>
      <c r="C3245" s="36">
        <v>3</v>
      </c>
      <c r="D3245" s="14" t="s">
        <v>1111</v>
      </c>
    </row>
    <row r="3246" spans="1:4" ht="15" customHeight="1">
      <c r="A3246" s="8"/>
      <c r="B3246" s="38" t="s">
        <v>2692</v>
      </c>
      <c r="C3246" s="36">
        <v>1</v>
      </c>
      <c r="D3246" s="14" t="s">
        <v>1125</v>
      </c>
    </row>
    <row r="3247" spans="1:4" ht="15" customHeight="1">
      <c r="A3247" s="8"/>
      <c r="B3247" s="38" t="s">
        <v>2675</v>
      </c>
      <c r="C3247" s="36">
        <v>2</v>
      </c>
      <c r="D3247" s="14" t="s">
        <v>1105</v>
      </c>
    </row>
    <row r="3248" spans="1:4" ht="15" customHeight="1">
      <c r="A3248" s="8"/>
      <c r="B3248" s="39" t="s">
        <v>2676</v>
      </c>
      <c r="C3248" s="32">
        <v>1</v>
      </c>
      <c r="D3248" s="14" t="s">
        <v>530</v>
      </c>
    </row>
    <row r="3249" spans="1:4" ht="15" customHeight="1">
      <c r="A3249" s="35"/>
      <c r="B3249" s="38"/>
      <c r="C3249" s="36"/>
      <c r="D3249" s="14"/>
    </row>
    <row r="3250" spans="1:4" ht="15" customHeight="1">
      <c r="A3250" s="35"/>
      <c r="B3250" s="38"/>
      <c r="C3250" s="36"/>
      <c r="D3250" s="14"/>
    </row>
    <row r="3251" spans="1:4" ht="15" customHeight="1">
      <c r="A3251" s="35"/>
      <c r="B3251" s="38"/>
      <c r="C3251" s="36"/>
      <c r="D3251" s="14"/>
    </row>
    <row r="3252" spans="1:4" ht="15" customHeight="1">
      <c r="A3252" s="35"/>
      <c r="B3252" s="38"/>
      <c r="C3252" s="36"/>
      <c r="D3252" s="14"/>
    </row>
    <row r="3253" spans="1:4" ht="15" customHeight="1">
      <c r="A3253" s="35"/>
      <c r="B3253" s="38"/>
      <c r="C3253" s="36"/>
      <c r="D3253" s="14"/>
    </row>
    <row r="3254" spans="1:4" ht="15" customHeight="1">
      <c r="A3254" s="35"/>
      <c r="B3254" s="38"/>
      <c r="C3254" s="36"/>
      <c r="D3254" s="14"/>
    </row>
    <row r="3255" spans="1:4" ht="15" customHeight="1">
      <c r="A3255" s="35"/>
      <c r="B3255" s="38"/>
      <c r="C3255" s="36"/>
      <c r="D3255" s="14"/>
    </row>
    <row r="3256" spans="1:4" ht="15" customHeight="1">
      <c r="A3256" s="35"/>
      <c r="B3256" s="38"/>
      <c r="C3256" s="36"/>
      <c r="D3256" s="14"/>
    </row>
    <row r="3257" spans="1:4" ht="15" customHeight="1">
      <c r="A3257" s="8" t="s">
        <v>1637</v>
      </c>
      <c r="B3257" s="37" t="s">
        <v>2743</v>
      </c>
      <c r="C3257" s="34" t="s">
        <v>2608</v>
      </c>
      <c r="D3257" s="14" t="s">
        <v>1822</v>
      </c>
    </row>
    <row r="3258" spans="1:4" ht="19.5" customHeight="1">
      <c r="A3258" s="8"/>
      <c r="B3258" s="38" t="s">
        <v>2738</v>
      </c>
      <c r="C3258" s="34" t="s">
        <v>2608</v>
      </c>
      <c r="D3258" s="14" t="s">
        <v>1834</v>
      </c>
    </row>
    <row r="3259" spans="1:4" ht="15" customHeight="1">
      <c r="A3259" s="8"/>
      <c r="B3259" s="24" t="s">
        <v>420</v>
      </c>
      <c r="C3259" s="30" t="s">
        <v>2739</v>
      </c>
      <c r="D3259" s="14" t="s">
        <v>422</v>
      </c>
    </row>
    <row r="3260" spans="1:4" ht="15" customHeight="1">
      <c r="A3260" s="8"/>
      <c r="B3260" s="24" t="s">
        <v>420</v>
      </c>
      <c r="C3260" s="30" t="s">
        <v>2609</v>
      </c>
      <c r="D3260" s="14" t="s">
        <v>422</v>
      </c>
    </row>
    <row r="3261" spans="1:4" ht="15" customHeight="1">
      <c r="A3261" s="8"/>
      <c r="B3261" s="24" t="s">
        <v>420</v>
      </c>
      <c r="C3261" s="30" t="s">
        <v>2609</v>
      </c>
      <c r="D3261" s="14" t="s">
        <v>422</v>
      </c>
    </row>
    <row r="3262" spans="1:4" ht="15" customHeight="1">
      <c r="A3262" s="8"/>
      <c r="B3262" s="24" t="s">
        <v>420</v>
      </c>
      <c r="C3262" s="30" t="s">
        <v>2609</v>
      </c>
      <c r="D3262" s="14" t="s">
        <v>422</v>
      </c>
    </row>
    <row r="3263" spans="1:4" ht="15" customHeight="1">
      <c r="A3263" s="8"/>
      <c r="B3263" s="38" t="s">
        <v>2740</v>
      </c>
      <c r="C3263" s="34" t="s">
        <v>2608</v>
      </c>
      <c r="D3263" s="14" t="s">
        <v>2741</v>
      </c>
    </row>
    <row r="3264" spans="1:4" ht="15" customHeight="1">
      <c r="A3264" s="8"/>
      <c r="B3264" s="38" t="s">
        <v>2694</v>
      </c>
      <c r="C3264" s="34" t="s">
        <v>2608</v>
      </c>
      <c r="D3264" s="14" t="s">
        <v>1846</v>
      </c>
    </row>
    <row r="3265" spans="1:4" ht="15" customHeight="1">
      <c r="A3265" s="8"/>
      <c r="B3265" s="38" t="s">
        <v>2711</v>
      </c>
      <c r="C3265" s="36">
        <v>2</v>
      </c>
      <c r="D3265" s="14" t="s">
        <v>2377</v>
      </c>
    </row>
    <row r="3266" spans="1:4" ht="15" customHeight="1">
      <c r="A3266" s="8"/>
      <c r="B3266" s="38" t="s">
        <v>2691</v>
      </c>
      <c r="C3266" s="36">
        <v>1</v>
      </c>
      <c r="D3266" s="14" t="s">
        <v>2284</v>
      </c>
    </row>
    <row r="3267" spans="1:4" ht="16.5" customHeight="1">
      <c r="A3267" s="8"/>
      <c r="B3267" s="38" t="s">
        <v>2695</v>
      </c>
      <c r="C3267" s="36">
        <v>3</v>
      </c>
      <c r="D3267" s="14" t="s">
        <v>1111</v>
      </c>
    </row>
    <row r="3268" spans="1:4" ht="19.5" customHeight="1">
      <c r="A3268" s="8"/>
      <c r="B3268" s="38" t="s">
        <v>2692</v>
      </c>
      <c r="C3268" s="36">
        <v>1</v>
      </c>
      <c r="D3268" s="14" t="s">
        <v>1125</v>
      </c>
    </row>
    <row r="3269" spans="1:4" ht="15" customHeight="1">
      <c r="A3269" s="8"/>
      <c r="B3269" s="38" t="s">
        <v>2675</v>
      </c>
      <c r="C3269" s="36">
        <v>2</v>
      </c>
      <c r="D3269" s="14" t="s">
        <v>1105</v>
      </c>
    </row>
    <row r="3270" spans="1:4" ht="15" customHeight="1">
      <c r="A3270" s="8"/>
      <c r="B3270" s="39" t="s">
        <v>2676</v>
      </c>
      <c r="C3270" s="32">
        <v>1</v>
      </c>
      <c r="D3270" s="14" t="s">
        <v>530</v>
      </c>
    </row>
    <row r="3271" spans="1:4" ht="15" customHeight="1">
      <c r="A3271" s="8" t="s">
        <v>1639</v>
      </c>
      <c r="B3271" s="37" t="s">
        <v>2737</v>
      </c>
      <c r="C3271" s="34" t="s">
        <v>2608</v>
      </c>
      <c r="D3271" s="14" t="s">
        <v>1826</v>
      </c>
    </row>
    <row r="3272" spans="1:4" ht="15" customHeight="1">
      <c r="A3272" s="8"/>
      <c r="B3272" s="24" t="s">
        <v>420</v>
      </c>
      <c r="C3272" s="30" t="s">
        <v>2609</v>
      </c>
      <c r="D3272" s="14" t="s">
        <v>422</v>
      </c>
    </row>
    <row r="3273" spans="1:4" ht="19.5" customHeight="1">
      <c r="A3273" s="8"/>
      <c r="B3273" s="38" t="s">
        <v>2740</v>
      </c>
      <c r="C3273" s="34" t="s">
        <v>2608</v>
      </c>
      <c r="D3273" s="14" t="s">
        <v>2741</v>
      </c>
    </row>
    <row r="3274" spans="1:4" ht="15" customHeight="1">
      <c r="A3274" s="8" t="s">
        <v>1641</v>
      </c>
      <c r="B3274" s="37" t="s">
        <v>2743</v>
      </c>
      <c r="C3274" s="34" t="s">
        <v>2608</v>
      </c>
      <c r="D3274" s="14" t="s">
        <v>1822</v>
      </c>
    </row>
    <row r="3275" spans="1:4" ht="15" customHeight="1">
      <c r="A3275" s="8"/>
      <c r="B3275" s="24" t="s">
        <v>420</v>
      </c>
      <c r="C3275" s="30" t="s">
        <v>2609</v>
      </c>
      <c r="D3275" s="14" t="s">
        <v>422</v>
      </c>
    </row>
    <row r="3276" spans="1:4" ht="15" customHeight="1">
      <c r="A3276" s="8"/>
      <c r="B3276" s="38" t="s">
        <v>2740</v>
      </c>
      <c r="C3276" s="34" t="s">
        <v>2608</v>
      </c>
      <c r="D3276" s="14" t="s">
        <v>2741</v>
      </c>
    </row>
    <row r="3277" spans="1:4" ht="12.75" customHeight="1">
      <c r="A3277" s="8" t="s">
        <v>1643</v>
      </c>
      <c r="B3277" s="37" t="s">
        <v>2737</v>
      </c>
      <c r="C3277" s="34" t="s">
        <v>2608</v>
      </c>
      <c r="D3277" s="14" t="s">
        <v>1826</v>
      </c>
    </row>
    <row r="3278" spans="1:4" ht="12" customHeight="1">
      <c r="A3278" s="8"/>
      <c r="B3278" s="38" t="s">
        <v>2738</v>
      </c>
      <c r="C3278" s="34" t="s">
        <v>2608</v>
      </c>
      <c r="D3278" s="14" t="s">
        <v>1834</v>
      </c>
    </row>
    <row r="3279" spans="1:4" ht="12" customHeight="1">
      <c r="A3279" s="8"/>
      <c r="B3279" s="24" t="s">
        <v>420</v>
      </c>
      <c r="C3279" s="30" t="s">
        <v>2739</v>
      </c>
      <c r="D3279" s="14" t="s">
        <v>422</v>
      </c>
    </row>
    <row r="3280" spans="1:4" ht="15" customHeight="1">
      <c r="A3280" s="8"/>
      <c r="B3280" s="24" t="s">
        <v>420</v>
      </c>
      <c r="C3280" s="30" t="s">
        <v>2609</v>
      </c>
      <c r="D3280" s="14" t="s">
        <v>422</v>
      </c>
    </row>
    <row r="3281" spans="1:4" ht="15" customHeight="1">
      <c r="A3281" s="8"/>
      <c r="B3281" s="24" t="s">
        <v>420</v>
      </c>
      <c r="C3281" s="30" t="s">
        <v>2609</v>
      </c>
      <c r="D3281" s="14" t="s">
        <v>422</v>
      </c>
    </row>
    <row r="3282" spans="1:4" ht="15" customHeight="1">
      <c r="A3282" s="8"/>
      <c r="B3282" s="24" t="s">
        <v>420</v>
      </c>
      <c r="C3282" s="30" t="s">
        <v>2609</v>
      </c>
      <c r="D3282" s="14" t="s">
        <v>422</v>
      </c>
    </row>
    <row r="3283" spans="1:4" ht="15" customHeight="1">
      <c r="A3283" s="8"/>
      <c r="B3283" s="38" t="s">
        <v>2740</v>
      </c>
      <c r="C3283" s="34" t="s">
        <v>2608</v>
      </c>
      <c r="D3283" s="14" t="s">
        <v>2741</v>
      </c>
    </row>
    <row r="3284" spans="1:4" ht="15" customHeight="1">
      <c r="A3284" s="8"/>
      <c r="B3284" s="38" t="s">
        <v>2694</v>
      </c>
      <c r="C3284" s="34" t="s">
        <v>2608</v>
      </c>
      <c r="D3284" s="14" t="s">
        <v>1846</v>
      </c>
    </row>
    <row r="3285" spans="1:4" ht="15" customHeight="1">
      <c r="A3285" s="8"/>
      <c r="B3285" s="38" t="s">
        <v>2711</v>
      </c>
      <c r="C3285" s="36">
        <v>4</v>
      </c>
      <c r="D3285" s="14" t="s">
        <v>2377</v>
      </c>
    </row>
    <row r="3286" spans="1:4" ht="19.5" customHeight="1">
      <c r="A3286" s="8"/>
      <c r="B3286" s="38" t="s">
        <v>2744</v>
      </c>
      <c r="C3286" s="36">
        <v>1</v>
      </c>
      <c r="D3286" s="14" t="s">
        <v>2293</v>
      </c>
    </row>
    <row r="3287" spans="1:4" ht="15" customHeight="1">
      <c r="A3287" s="8"/>
      <c r="B3287" s="38" t="s">
        <v>2695</v>
      </c>
      <c r="C3287" s="36">
        <v>1</v>
      </c>
      <c r="D3287" s="14" t="s">
        <v>1111</v>
      </c>
    </row>
    <row r="3288" spans="1:4" ht="15" customHeight="1">
      <c r="A3288" s="8"/>
      <c r="B3288" s="38" t="s">
        <v>2675</v>
      </c>
      <c r="C3288" s="36">
        <v>2</v>
      </c>
      <c r="D3288" s="14" t="s">
        <v>1105</v>
      </c>
    </row>
    <row r="3289" spans="1:4" ht="15" customHeight="1">
      <c r="A3289" s="8"/>
      <c r="B3289" s="39" t="s">
        <v>2698</v>
      </c>
      <c r="C3289" s="32">
        <v>1</v>
      </c>
      <c r="D3289" s="14" t="s">
        <v>540</v>
      </c>
    </row>
    <row r="3290" spans="1:4" ht="15" customHeight="1">
      <c r="A3290" s="8" t="s">
        <v>1645</v>
      </c>
      <c r="B3290" s="37" t="s">
        <v>2743</v>
      </c>
      <c r="C3290" s="34" t="s">
        <v>2608</v>
      </c>
      <c r="D3290" s="14" t="s">
        <v>1822</v>
      </c>
    </row>
    <row r="3291" spans="1:4" ht="15" customHeight="1">
      <c r="A3291" s="8"/>
      <c r="B3291" s="38" t="s">
        <v>2738</v>
      </c>
      <c r="C3291" s="34" t="s">
        <v>2608</v>
      </c>
      <c r="D3291" s="14" t="s">
        <v>1834</v>
      </c>
    </row>
    <row r="3292" spans="1:4" ht="15" customHeight="1">
      <c r="A3292" s="8"/>
      <c r="B3292" s="24" t="s">
        <v>420</v>
      </c>
      <c r="C3292" s="30" t="s">
        <v>2739</v>
      </c>
      <c r="D3292" s="14" t="s">
        <v>422</v>
      </c>
    </row>
    <row r="3293" spans="1:4" ht="15" customHeight="1">
      <c r="A3293" s="8"/>
      <c r="B3293" s="24" t="s">
        <v>420</v>
      </c>
      <c r="C3293" s="30" t="s">
        <v>2609</v>
      </c>
      <c r="D3293" s="14" t="s">
        <v>422</v>
      </c>
    </row>
    <row r="3294" spans="1:4" ht="15" customHeight="1">
      <c r="A3294" s="8"/>
      <c r="B3294" s="24" t="s">
        <v>420</v>
      </c>
      <c r="C3294" s="30" t="s">
        <v>2609</v>
      </c>
      <c r="D3294" s="14" t="s">
        <v>422</v>
      </c>
    </row>
    <row r="3295" spans="1:4" ht="15" customHeight="1">
      <c r="A3295" s="8"/>
      <c r="B3295" s="24" t="s">
        <v>420</v>
      </c>
      <c r="C3295" s="30" t="s">
        <v>2609</v>
      </c>
      <c r="D3295" s="14" t="s">
        <v>422</v>
      </c>
    </row>
    <row r="3296" spans="1:4" ht="19.5" customHeight="1">
      <c r="A3296" s="8"/>
      <c r="B3296" s="38" t="s">
        <v>2740</v>
      </c>
      <c r="C3296" s="34" t="s">
        <v>2608</v>
      </c>
      <c r="D3296" s="14" t="s">
        <v>2741</v>
      </c>
    </row>
    <row r="3297" spans="1:4" ht="19.5" customHeight="1">
      <c r="A3297" s="8"/>
      <c r="B3297" s="38" t="s">
        <v>2694</v>
      </c>
      <c r="C3297" s="34" t="s">
        <v>2608</v>
      </c>
      <c r="D3297" s="14" t="s">
        <v>1846</v>
      </c>
    </row>
    <row r="3298" spans="1:4" ht="19.5" customHeight="1">
      <c r="A3298" s="8"/>
      <c r="B3298" s="38" t="s">
        <v>2711</v>
      </c>
      <c r="C3298" s="36">
        <v>4</v>
      </c>
      <c r="D3298" s="14" t="s">
        <v>2377</v>
      </c>
    </row>
    <row r="3299" spans="1:4" ht="19.5" customHeight="1">
      <c r="A3299" s="8"/>
      <c r="B3299" s="38" t="s">
        <v>2744</v>
      </c>
      <c r="C3299" s="36">
        <v>1</v>
      </c>
      <c r="D3299" s="14" t="s">
        <v>2293</v>
      </c>
    </row>
    <row r="3300" spans="1:4" ht="19.5" customHeight="1">
      <c r="A3300" s="8"/>
      <c r="B3300" s="38" t="s">
        <v>2695</v>
      </c>
      <c r="C3300" s="36">
        <v>1</v>
      </c>
      <c r="D3300" s="14" t="s">
        <v>1111</v>
      </c>
    </row>
    <row r="3301" spans="1:4" ht="19.5" customHeight="1">
      <c r="A3301" s="8"/>
      <c r="B3301" s="38" t="s">
        <v>2675</v>
      </c>
      <c r="C3301" s="36">
        <v>2</v>
      </c>
      <c r="D3301" s="14" t="s">
        <v>1105</v>
      </c>
    </row>
    <row r="3302" spans="1:4" ht="19.5" customHeight="1">
      <c r="A3302" s="8"/>
      <c r="B3302" s="39" t="s">
        <v>2698</v>
      </c>
      <c r="C3302" s="32">
        <v>1</v>
      </c>
      <c r="D3302" s="14" t="s">
        <v>540</v>
      </c>
    </row>
    <row r="3303" spans="1:4" ht="19.5" customHeight="1">
      <c r="A3303" s="35"/>
      <c r="B3303" s="38"/>
      <c r="C3303" s="36"/>
      <c r="D3303" s="14"/>
    </row>
    <row r="3304" spans="1:4" ht="19.5" customHeight="1">
      <c r="A3304" s="35"/>
      <c r="B3304" s="38"/>
      <c r="C3304" s="36"/>
      <c r="D3304" s="14"/>
    </row>
    <row r="3305" spans="1:4" ht="19.5" customHeight="1">
      <c r="A3305" s="8" t="s">
        <v>1647</v>
      </c>
      <c r="B3305" s="37" t="s">
        <v>2737</v>
      </c>
      <c r="C3305" s="34" t="s">
        <v>2608</v>
      </c>
      <c r="D3305" s="14" t="s">
        <v>1826</v>
      </c>
    </row>
    <row r="3306" spans="1:4" ht="19.5" customHeight="1">
      <c r="A3306" s="8"/>
      <c r="B3306" s="38" t="s">
        <v>2738</v>
      </c>
      <c r="C3306" s="34" t="s">
        <v>2608</v>
      </c>
      <c r="D3306" s="14" t="s">
        <v>1834</v>
      </c>
    </row>
    <row r="3307" spans="1:4" ht="19.5" customHeight="1">
      <c r="A3307" s="8"/>
      <c r="B3307" s="24" t="s">
        <v>420</v>
      </c>
      <c r="C3307" s="30" t="s">
        <v>2739</v>
      </c>
      <c r="D3307" s="14" t="s">
        <v>422</v>
      </c>
    </row>
    <row r="3308" spans="1:4" ht="19.5" customHeight="1">
      <c r="A3308" s="8"/>
      <c r="B3308" s="24" t="s">
        <v>420</v>
      </c>
      <c r="C3308" s="30" t="s">
        <v>2609</v>
      </c>
      <c r="D3308" s="14" t="s">
        <v>422</v>
      </c>
    </row>
    <row r="3309" spans="1:4" ht="19.5" customHeight="1">
      <c r="A3309" s="8"/>
      <c r="B3309" s="24" t="s">
        <v>420</v>
      </c>
      <c r="C3309" s="30" t="s">
        <v>2609</v>
      </c>
      <c r="D3309" s="14" t="s">
        <v>422</v>
      </c>
    </row>
    <row r="3310" spans="1:4" ht="19.5" customHeight="1">
      <c r="A3310" s="8"/>
      <c r="B3310" s="24" t="s">
        <v>420</v>
      </c>
      <c r="C3310" s="30" t="s">
        <v>2609</v>
      </c>
      <c r="D3310" s="14" t="s">
        <v>422</v>
      </c>
    </row>
    <row r="3311" spans="1:4" ht="19.5" customHeight="1">
      <c r="A3311" s="8"/>
      <c r="B3311" s="38" t="s">
        <v>2740</v>
      </c>
      <c r="C3311" s="34" t="s">
        <v>2608</v>
      </c>
      <c r="D3311" s="14" t="s">
        <v>2741</v>
      </c>
    </row>
    <row r="3312" spans="1:4" ht="19.5" customHeight="1">
      <c r="A3312" s="8"/>
      <c r="B3312" s="38" t="s">
        <v>2694</v>
      </c>
      <c r="C3312" s="34" t="s">
        <v>2608</v>
      </c>
      <c r="D3312" s="14" t="s">
        <v>1846</v>
      </c>
    </row>
    <row r="3313" spans="1:4" ht="19.5" customHeight="1">
      <c r="A3313" s="8"/>
      <c r="B3313" s="38" t="s">
        <v>2711</v>
      </c>
      <c r="C3313" s="36">
        <v>6</v>
      </c>
      <c r="D3313" s="14" t="s">
        <v>2377</v>
      </c>
    </row>
    <row r="3314" spans="1:4" ht="19.5" customHeight="1">
      <c r="A3314" s="8"/>
      <c r="B3314" s="38" t="s">
        <v>2744</v>
      </c>
      <c r="C3314" s="36">
        <v>2</v>
      </c>
      <c r="D3314" s="14" t="s">
        <v>2293</v>
      </c>
    </row>
    <row r="3315" spans="1:4" ht="19.5" customHeight="1">
      <c r="A3315" s="8"/>
      <c r="B3315" s="38" t="s">
        <v>2695</v>
      </c>
      <c r="C3315" s="36">
        <v>1</v>
      </c>
      <c r="D3315" s="14" t="s">
        <v>1111</v>
      </c>
    </row>
    <row r="3316" spans="1:4" ht="19.5" customHeight="1">
      <c r="A3316" s="8"/>
      <c r="B3316" s="38" t="s">
        <v>2675</v>
      </c>
      <c r="C3316" s="36">
        <v>6</v>
      </c>
      <c r="D3316" s="14" t="s">
        <v>1105</v>
      </c>
    </row>
    <row r="3317" spans="1:4" ht="19.5" customHeight="1">
      <c r="A3317" s="8"/>
      <c r="B3317" s="39" t="s">
        <v>2751</v>
      </c>
      <c r="C3317" s="32">
        <v>1</v>
      </c>
      <c r="D3317" s="14" t="s">
        <v>530</v>
      </c>
    </row>
    <row r="3318" spans="1:4" ht="19.5" customHeight="1">
      <c r="A3318" s="8"/>
      <c r="B3318" s="39" t="s">
        <v>2698</v>
      </c>
      <c r="C3318" s="32">
        <v>1</v>
      </c>
      <c r="D3318" s="14" t="s">
        <v>540</v>
      </c>
    </row>
    <row r="3319" spans="1:4" ht="19.5" customHeight="1">
      <c r="A3319" s="8" t="s">
        <v>1649</v>
      </c>
      <c r="B3319" s="37" t="s">
        <v>2737</v>
      </c>
      <c r="C3319" s="34" t="s">
        <v>2608</v>
      </c>
      <c r="D3319" s="14" t="s">
        <v>1826</v>
      </c>
    </row>
    <row r="3320" spans="1:4" ht="19.5" customHeight="1">
      <c r="A3320" s="8"/>
      <c r="B3320" s="38" t="s">
        <v>2738</v>
      </c>
      <c r="C3320" s="34" t="s">
        <v>2608</v>
      </c>
      <c r="D3320" s="14" t="s">
        <v>1834</v>
      </c>
    </row>
    <row r="3321" spans="1:4" ht="19.5" customHeight="1">
      <c r="A3321" s="8"/>
      <c r="B3321" s="24" t="s">
        <v>420</v>
      </c>
      <c r="C3321" s="30" t="s">
        <v>2609</v>
      </c>
      <c r="D3321" s="14" t="s">
        <v>422</v>
      </c>
    </row>
    <row r="3322" spans="1:4" ht="19.5" customHeight="1">
      <c r="A3322" s="8"/>
      <c r="B3322" s="24" t="s">
        <v>420</v>
      </c>
      <c r="C3322" s="30" t="s">
        <v>2739</v>
      </c>
      <c r="D3322" s="14" t="s">
        <v>422</v>
      </c>
    </row>
    <row r="3323" spans="1:4" ht="19.5" customHeight="1">
      <c r="A3323" s="8"/>
      <c r="B3323" s="24" t="s">
        <v>420</v>
      </c>
      <c r="C3323" s="30" t="s">
        <v>2609</v>
      </c>
      <c r="D3323" s="14" t="s">
        <v>422</v>
      </c>
    </row>
    <row r="3324" spans="1:4" ht="19.5" customHeight="1">
      <c r="A3324" s="8"/>
      <c r="B3324" s="24" t="s">
        <v>420</v>
      </c>
      <c r="C3324" s="30" t="s">
        <v>2609</v>
      </c>
      <c r="D3324" s="14" t="s">
        <v>422</v>
      </c>
    </row>
    <row r="3325" spans="1:4" ht="19.5" customHeight="1">
      <c r="A3325" s="8"/>
      <c r="B3325" s="38" t="s">
        <v>2740</v>
      </c>
      <c r="C3325" s="34" t="s">
        <v>2608</v>
      </c>
      <c r="D3325" s="14" t="s">
        <v>2741</v>
      </c>
    </row>
    <row r="3326" spans="1:4" ht="19.5" customHeight="1">
      <c r="A3326" s="8"/>
      <c r="B3326" s="38" t="s">
        <v>2694</v>
      </c>
      <c r="C3326" s="34" t="s">
        <v>2608</v>
      </c>
      <c r="D3326" s="14" t="s">
        <v>1846</v>
      </c>
    </row>
    <row r="3327" spans="1:4" ht="19.5" customHeight="1">
      <c r="A3327" s="8"/>
      <c r="B3327" s="38" t="s">
        <v>2711</v>
      </c>
      <c r="C3327" s="36">
        <v>6</v>
      </c>
      <c r="D3327" s="14" t="s">
        <v>2377</v>
      </c>
    </row>
    <row r="3328" spans="1:4" ht="17.25" customHeight="1">
      <c r="A3328" s="8"/>
      <c r="B3328" s="38" t="s">
        <v>2744</v>
      </c>
      <c r="C3328" s="36">
        <v>2</v>
      </c>
      <c r="D3328" s="14" t="s">
        <v>2293</v>
      </c>
    </row>
    <row r="3329" spans="1:4" ht="19.5" customHeight="1">
      <c r="A3329" s="8"/>
      <c r="B3329" s="38" t="s">
        <v>2695</v>
      </c>
      <c r="C3329" s="36">
        <v>1</v>
      </c>
      <c r="D3329" s="14" t="s">
        <v>1111</v>
      </c>
    </row>
    <row r="3330" spans="1:4" ht="19.5" customHeight="1">
      <c r="A3330" s="8"/>
      <c r="B3330" s="38" t="s">
        <v>2675</v>
      </c>
      <c r="C3330" s="36">
        <v>6</v>
      </c>
      <c r="D3330" s="14" t="s">
        <v>1105</v>
      </c>
    </row>
    <row r="3331" spans="1:4" ht="19.5" customHeight="1">
      <c r="A3331" s="8"/>
      <c r="B3331" s="39" t="s">
        <v>2698</v>
      </c>
      <c r="C3331" s="32">
        <v>1</v>
      </c>
      <c r="D3331" s="14" t="s">
        <v>540</v>
      </c>
    </row>
    <row r="3332" spans="1:4" ht="18" customHeight="1">
      <c r="A3332" s="8"/>
      <c r="B3332" s="39" t="s">
        <v>2676</v>
      </c>
      <c r="C3332" s="32">
        <v>1</v>
      </c>
      <c r="D3332" s="14" t="s">
        <v>530</v>
      </c>
    </row>
    <row r="3333" spans="1:4" ht="19.5" customHeight="1">
      <c r="A3333" s="8" t="s">
        <v>1651</v>
      </c>
      <c r="B3333" s="37" t="s">
        <v>2737</v>
      </c>
      <c r="C3333" s="34" t="s">
        <v>2608</v>
      </c>
      <c r="D3333" s="14" t="s">
        <v>1826</v>
      </c>
    </row>
    <row r="3334" spans="1:4" ht="18" customHeight="1">
      <c r="A3334" s="8"/>
      <c r="B3334" s="38" t="s">
        <v>2746</v>
      </c>
      <c r="C3334" s="34" t="s">
        <v>2608</v>
      </c>
      <c r="D3334" s="14" t="s">
        <v>1842</v>
      </c>
    </row>
    <row r="3335" spans="1:4" ht="17.25" customHeight="1">
      <c r="A3335" s="8"/>
      <c r="B3335" s="24" t="s">
        <v>420</v>
      </c>
      <c r="C3335" s="30" t="s">
        <v>2739</v>
      </c>
      <c r="D3335" s="14" t="s">
        <v>422</v>
      </c>
    </row>
    <row r="3336" spans="1:4" ht="18" customHeight="1">
      <c r="A3336" s="8"/>
      <c r="B3336" s="24" t="s">
        <v>420</v>
      </c>
      <c r="C3336" s="30" t="s">
        <v>2609</v>
      </c>
      <c r="D3336" s="14" t="s">
        <v>422</v>
      </c>
    </row>
    <row r="3337" spans="1:4" ht="15" customHeight="1">
      <c r="A3337" s="8"/>
      <c r="B3337" s="24" t="s">
        <v>420</v>
      </c>
      <c r="C3337" s="30" t="s">
        <v>2609</v>
      </c>
      <c r="D3337" s="14" t="s">
        <v>422</v>
      </c>
    </row>
    <row r="3338" spans="1:4" ht="15" customHeight="1">
      <c r="A3338" s="8"/>
      <c r="B3338" s="24" t="s">
        <v>420</v>
      </c>
      <c r="C3338" s="30" t="s">
        <v>2609</v>
      </c>
      <c r="D3338" s="14" t="s">
        <v>422</v>
      </c>
    </row>
    <row r="3339" spans="1:4" ht="15" customHeight="1">
      <c r="A3339" s="8"/>
      <c r="B3339" s="38" t="s">
        <v>2740</v>
      </c>
      <c r="C3339" s="34" t="s">
        <v>2608</v>
      </c>
      <c r="D3339" s="14" t="s">
        <v>2741</v>
      </c>
    </row>
    <row r="3340" spans="1:4" ht="15" customHeight="1">
      <c r="A3340" s="8"/>
      <c r="B3340" s="38" t="s">
        <v>2694</v>
      </c>
      <c r="C3340" s="34" t="s">
        <v>2608</v>
      </c>
      <c r="D3340" s="14" t="s">
        <v>1846</v>
      </c>
    </row>
    <row r="3341" spans="1:4" ht="15" customHeight="1">
      <c r="A3341" s="8"/>
      <c r="B3341" s="38" t="s">
        <v>2711</v>
      </c>
      <c r="C3341" s="36">
        <v>4</v>
      </c>
      <c r="D3341" s="14" t="s">
        <v>2377</v>
      </c>
    </row>
    <row r="3342" spans="1:4" ht="15" customHeight="1">
      <c r="A3342" s="8"/>
      <c r="B3342" s="38" t="s">
        <v>2744</v>
      </c>
      <c r="C3342" s="36">
        <v>1</v>
      </c>
      <c r="D3342" s="14" t="s">
        <v>2293</v>
      </c>
    </row>
    <row r="3343" spans="1:4" ht="15" customHeight="1">
      <c r="A3343" s="8"/>
      <c r="B3343" s="38" t="s">
        <v>2695</v>
      </c>
      <c r="C3343" s="36">
        <v>1</v>
      </c>
      <c r="D3343" s="14" t="s">
        <v>1111</v>
      </c>
    </row>
    <row r="3344" spans="1:4" ht="19.5" customHeight="1">
      <c r="A3344" s="8"/>
      <c r="B3344" s="38" t="s">
        <v>2675</v>
      </c>
      <c r="C3344" s="36">
        <v>4</v>
      </c>
      <c r="D3344" s="14" t="s">
        <v>1105</v>
      </c>
    </row>
    <row r="3345" spans="1:4" ht="15" customHeight="1">
      <c r="A3345" s="8"/>
      <c r="B3345" s="39" t="s">
        <v>2698</v>
      </c>
      <c r="C3345" s="32">
        <v>1</v>
      </c>
      <c r="D3345" s="14" t="s">
        <v>540</v>
      </c>
    </row>
    <row r="3346" spans="1:4" ht="15" customHeight="1">
      <c r="A3346" s="8" t="s">
        <v>1653</v>
      </c>
      <c r="B3346" s="37" t="s">
        <v>2743</v>
      </c>
      <c r="C3346" s="34" t="s">
        <v>2608</v>
      </c>
      <c r="D3346" s="14" t="s">
        <v>1822</v>
      </c>
    </row>
    <row r="3347" spans="1:4" ht="15" customHeight="1">
      <c r="A3347" s="8"/>
      <c r="B3347" s="38" t="s">
        <v>2746</v>
      </c>
      <c r="C3347" s="34" t="s">
        <v>2608</v>
      </c>
      <c r="D3347" s="14" t="s">
        <v>1842</v>
      </c>
    </row>
    <row r="3348" spans="1:4" ht="15" customHeight="1">
      <c r="A3348" s="8"/>
      <c r="B3348" s="24" t="s">
        <v>420</v>
      </c>
      <c r="C3348" s="30" t="s">
        <v>2739</v>
      </c>
      <c r="D3348" s="14" t="s">
        <v>422</v>
      </c>
    </row>
    <row r="3349" spans="1:4" ht="15" customHeight="1">
      <c r="A3349" s="8"/>
      <c r="B3349" s="24" t="s">
        <v>420</v>
      </c>
      <c r="C3349" s="30" t="s">
        <v>2609</v>
      </c>
      <c r="D3349" s="14" t="s">
        <v>422</v>
      </c>
    </row>
    <row r="3350" spans="1:4" ht="15" customHeight="1">
      <c r="A3350" s="8"/>
      <c r="B3350" s="24" t="s">
        <v>420</v>
      </c>
      <c r="C3350" s="30" t="s">
        <v>2609</v>
      </c>
      <c r="D3350" s="14" t="s">
        <v>422</v>
      </c>
    </row>
    <row r="3351" spans="1:4" ht="15" customHeight="1">
      <c r="A3351" s="8"/>
      <c r="B3351" s="24" t="s">
        <v>420</v>
      </c>
      <c r="C3351" s="30" t="s">
        <v>2609</v>
      </c>
      <c r="D3351" s="14" t="s">
        <v>422</v>
      </c>
    </row>
    <row r="3352" spans="1:4" ht="15" customHeight="1">
      <c r="A3352" s="8"/>
      <c r="B3352" s="38" t="s">
        <v>2740</v>
      </c>
      <c r="C3352" s="34" t="s">
        <v>2608</v>
      </c>
      <c r="D3352" s="14" t="s">
        <v>2741</v>
      </c>
    </row>
    <row r="3353" spans="1:4" ht="15" customHeight="1">
      <c r="A3353" s="8"/>
      <c r="B3353" s="38" t="s">
        <v>2694</v>
      </c>
      <c r="C3353" s="34" t="s">
        <v>2608</v>
      </c>
      <c r="D3353" s="14" t="s">
        <v>1846</v>
      </c>
    </row>
    <row r="3354" spans="1:4" ht="15" customHeight="1">
      <c r="A3354" s="8"/>
      <c r="B3354" s="38" t="s">
        <v>2711</v>
      </c>
      <c r="C3354" s="36">
        <v>4</v>
      </c>
      <c r="D3354" s="14" t="s">
        <v>2377</v>
      </c>
    </row>
    <row r="3355" spans="1:4" ht="15" customHeight="1">
      <c r="A3355" s="8"/>
      <c r="B3355" s="38" t="s">
        <v>2744</v>
      </c>
      <c r="C3355" s="36">
        <v>1</v>
      </c>
      <c r="D3355" s="14" t="s">
        <v>2293</v>
      </c>
    </row>
    <row r="3356" spans="1:4" ht="15" customHeight="1">
      <c r="A3356" s="8"/>
      <c r="B3356" s="38" t="s">
        <v>2695</v>
      </c>
      <c r="C3356" s="36">
        <v>1</v>
      </c>
      <c r="D3356" s="14" t="s">
        <v>1111</v>
      </c>
    </row>
    <row r="3357" spans="1:4" ht="16.5" customHeight="1">
      <c r="A3357" s="8"/>
      <c r="B3357" s="38" t="s">
        <v>2675</v>
      </c>
      <c r="C3357" s="36">
        <v>4</v>
      </c>
      <c r="D3357" s="14" t="s">
        <v>1105</v>
      </c>
    </row>
    <row r="3358" spans="1:4" ht="19.5" customHeight="1">
      <c r="A3358" s="8"/>
      <c r="B3358" s="39" t="s">
        <v>2698</v>
      </c>
      <c r="C3358" s="32">
        <v>1</v>
      </c>
      <c r="D3358" s="14" t="s">
        <v>540</v>
      </c>
    </row>
    <row r="3359" spans="1:4" ht="19.5" customHeight="1">
      <c r="A3359" s="8" t="s">
        <v>1655</v>
      </c>
      <c r="B3359" s="37" t="s">
        <v>2737</v>
      </c>
      <c r="C3359" s="34" t="s">
        <v>2608</v>
      </c>
      <c r="D3359" s="14" t="s">
        <v>1826</v>
      </c>
    </row>
    <row r="3360" spans="1:4" ht="19.5" customHeight="1">
      <c r="A3360" s="8"/>
      <c r="B3360" s="38" t="s">
        <v>2746</v>
      </c>
      <c r="C3360" s="34" t="s">
        <v>2608</v>
      </c>
      <c r="D3360" s="14" t="s">
        <v>1842</v>
      </c>
    </row>
    <row r="3361" spans="1:4" ht="19.5" customHeight="1">
      <c r="A3361" s="8"/>
      <c r="B3361" s="24" t="s">
        <v>420</v>
      </c>
      <c r="C3361" s="30" t="s">
        <v>2739</v>
      </c>
      <c r="D3361" s="14" t="s">
        <v>422</v>
      </c>
    </row>
    <row r="3362" spans="1:4" ht="19.5" customHeight="1">
      <c r="A3362" s="8"/>
      <c r="B3362" s="24" t="s">
        <v>420</v>
      </c>
      <c r="C3362" s="30" t="s">
        <v>2609</v>
      </c>
      <c r="D3362" s="14" t="s">
        <v>422</v>
      </c>
    </row>
    <row r="3363" spans="1:4" ht="19.5" customHeight="1">
      <c r="A3363" s="8"/>
      <c r="B3363" s="24" t="s">
        <v>420</v>
      </c>
      <c r="C3363" s="30" t="s">
        <v>2609</v>
      </c>
      <c r="D3363" s="14" t="s">
        <v>422</v>
      </c>
    </row>
    <row r="3364" spans="1:4" ht="19.5" customHeight="1">
      <c r="A3364" s="8"/>
      <c r="B3364" s="24" t="s">
        <v>420</v>
      </c>
      <c r="C3364" s="30" t="s">
        <v>2609</v>
      </c>
      <c r="D3364" s="14" t="s">
        <v>422</v>
      </c>
    </row>
    <row r="3365" spans="1:4" ht="19.5" customHeight="1">
      <c r="A3365" s="8"/>
      <c r="B3365" s="38" t="s">
        <v>2740</v>
      </c>
      <c r="C3365" s="34" t="s">
        <v>2608</v>
      </c>
      <c r="D3365" s="14" t="s">
        <v>2741</v>
      </c>
    </row>
    <row r="3366" spans="1:4" ht="19.5" customHeight="1">
      <c r="A3366" s="8"/>
      <c r="B3366" s="38" t="s">
        <v>2694</v>
      </c>
      <c r="C3366" s="34" t="s">
        <v>2608</v>
      </c>
      <c r="D3366" s="14" t="s">
        <v>1846</v>
      </c>
    </row>
    <row r="3367" spans="1:4" ht="19.5" customHeight="1">
      <c r="A3367" s="8"/>
      <c r="B3367" s="38" t="s">
        <v>2711</v>
      </c>
      <c r="C3367" s="36">
        <v>6</v>
      </c>
      <c r="D3367" s="14" t="s">
        <v>2377</v>
      </c>
    </row>
    <row r="3368" spans="1:4" ht="19.5" customHeight="1">
      <c r="A3368" s="8"/>
      <c r="B3368" s="38" t="s">
        <v>2744</v>
      </c>
      <c r="C3368" s="36">
        <v>2</v>
      </c>
      <c r="D3368" s="14" t="s">
        <v>2293</v>
      </c>
    </row>
    <row r="3369" spans="1:4" ht="19.5" customHeight="1">
      <c r="A3369" s="8"/>
      <c r="B3369" s="38" t="s">
        <v>2695</v>
      </c>
      <c r="C3369" s="36">
        <v>1</v>
      </c>
      <c r="D3369" s="14" t="s">
        <v>1111</v>
      </c>
    </row>
    <row r="3370" spans="1:4" ht="19.5" customHeight="1">
      <c r="A3370" s="8"/>
      <c r="B3370" s="38" t="s">
        <v>2675</v>
      </c>
      <c r="C3370" s="36">
        <v>6</v>
      </c>
      <c r="D3370" s="14" t="s">
        <v>1105</v>
      </c>
    </row>
    <row r="3371" spans="1:4" ht="19.5" customHeight="1">
      <c r="A3371" s="8"/>
      <c r="B3371" s="39" t="s">
        <v>2698</v>
      </c>
      <c r="C3371" s="32">
        <v>1</v>
      </c>
      <c r="D3371" s="14" t="s">
        <v>540</v>
      </c>
    </row>
    <row r="3372" spans="1:4" ht="19.5" customHeight="1">
      <c r="A3372" s="8"/>
      <c r="B3372" s="39" t="s">
        <v>2676</v>
      </c>
      <c r="C3372" s="32">
        <v>1</v>
      </c>
      <c r="D3372" s="14" t="s">
        <v>530</v>
      </c>
    </row>
    <row r="3373" spans="1:4" ht="19.5" customHeight="1">
      <c r="A3373" s="8" t="s">
        <v>1657</v>
      </c>
      <c r="B3373" s="37" t="s">
        <v>2743</v>
      </c>
      <c r="C3373" s="34" t="s">
        <v>2608</v>
      </c>
      <c r="D3373" s="14" t="s">
        <v>1822</v>
      </c>
    </row>
    <row r="3374" spans="1:4" ht="19.5" customHeight="1">
      <c r="A3374" s="8"/>
      <c r="B3374" s="38" t="s">
        <v>2746</v>
      </c>
      <c r="C3374" s="34" t="s">
        <v>2608</v>
      </c>
      <c r="D3374" s="14" t="s">
        <v>1842</v>
      </c>
    </row>
    <row r="3375" spans="1:4" ht="19.5" customHeight="1">
      <c r="A3375" s="8"/>
      <c r="B3375" s="24" t="s">
        <v>420</v>
      </c>
      <c r="C3375" s="30" t="s">
        <v>2609</v>
      </c>
      <c r="D3375" s="14" t="s">
        <v>422</v>
      </c>
    </row>
    <row r="3376" spans="1:4" ht="19.5" customHeight="1">
      <c r="A3376" s="8"/>
      <c r="B3376" s="24" t="s">
        <v>420</v>
      </c>
      <c r="C3376" s="30" t="s">
        <v>2739</v>
      </c>
      <c r="D3376" s="14" t="s">
        <v>422</v>
      </c>
    </row>
    <row r="3377" spans="1:4" ht="19.5" customHeight="1">
      <c r="A3377" s="8"/>
      <c r="B3377" s="24" t="s">
        <v>420</v>
      </c>
      <c r="C3377" s="30" t="s">
        <v>2609</v>
      </c>
      <c r="D3377" s="14" t="s">
        <v>422</v>
      </c>
    </row>
    <row r="3378" spans="1:4" ht="19.5" customHeight="1">
      <c r="A3378" s="8"/>
      <c r="B3378" s="24" t="s">
        <v>420</v>
      </c>
      <c r="C3378" s="30" t="s">
        <v>2609</v>
      </c>
      <c r="D3378" s="14" t="s">
        <v>422</v>
      </c>
    </row>
    <row r="3379" spans="1:4" ht="19.5" customHeight="1">
      <c r="A3379" s="8"/>
      <c r="B3379" s="38" t="s">
        <v>2740</v>
      </c>
      <c r="C3379" s="34" t="s">
        <v>2608</v>
      </c>
      <c r="D3379" s="14" t="s">
        <v>2741</v>
      </c>
    </row>
    <row r="3380" spans="1:4" ht="19.5" customHeight="1">
      <c r="A3380" s="8"/>
      <c r="B3380" s="38" t="s">
        <v>2694</v>
      </c>
      <c r="C3380" s="34" t="s">
        <v>2608</v>
      </c>
      <c r="D3380" s="14" t="s">
        <v>1846</v>
      </c>
    </row>
    <row r="3381" spans="1:4" ht="19.5" customHeight="1">
      <c r="A3381" s="8"/>
      <c r="B3381" s="38" t="s">
        <v>2711</v>
      </c>
      <c r="C3381" s="36">
        <v>6</v>
      </c>
      <c r="D3381" s="14" t="s">
        <v>2377</v>
      </c>
    </row>
    <row r="3382" spans="1:4" ht="19.5" customHeight="1">
      <c r="A3382" s="8"/>
      <c r="B3382" s="38" t="s">
        <v>2744</v>
      </c>
      <c r="C3382" s="36">
        <v>2</v>
      </c>
      <c r="D3382" s="14" t="s">
        <v>2293</v>
      </c>
    </row>
    <row r="3383" spans="1:4" ht="19.5" customHeight="1">
      <c r="A3383" s="8"/>
      <c r="B3383" s="38" t="s">
        <v>2695</v>
      </c>
      <c r="C3383" s="36">
        <v>1</v>
      </c>
      <c r="D3383" s="14" t="s">
        <v>1111</v>
      </c>
    </row>
    <row r="3384" spans="1:4" ht="19.5" customHeight="1">
      <c r="A3384" s="8"/>
      <c r="B3384" s="38" t="s">
        <v>2675</v>
      </c>
      <c r="C3384" s="36">
        <v>6</v>
      </c>
      <c r="D3384" s="14" t="s">
        <v>1105</v>
      </c>
    </row>
    <row r="3385" spans="1:4" ht="19.5" customHeight="1">
      <c r="A3385" s="8"/>
      <c r="B3385" s="39" t="s">
        <v>2698</v>
      </c>
      <c r="C3385" s="32">
        <v>1</v>
      </c>
      <c r="D3385" s="14" t="s">
        <v>540</v>
      </c>
    </row>
    <row r="3386" spans="1:4" ht="19.5" customHeight="1">
      <c r="A3386" s="8"/>
      <c r="B3386" s="39" t="s">
        <v>2676</v>
      </c>
      <c r="C3386" s="32">
        <v>1</v>
      </c>
      <c r="D3386" s="14" t="s">
        <v>530</v>
      </c>
    </row>
    <row r="3387" spans="1:4" ht="19.5" customHeight="1">
      <c r="A3387" s="35"/>
      <c r="B3387" s="38"/>
      <c r="C3387" s="36"/>
      <c r="D3387" s="14"/>
    </row>
    <row r="3388" spans="1:4" ht="19.5" customHeight="1">
      <c r="A3388" s="8" t="s">
        <v>1659</v>
      </c>
      <c r="B3388" s="37" t="s">
        <v>2737</v>
      </c>
      <c r="C3388" s="34" t="s">
        <v>2608</v>
      </c>
      <c r="D3388" s="14" t="s">
        <v>1826</v>
      </c>
    </row>
    <row r="3389" spans="1:4" ht="19.5" customHeight="1">
      <c r="A3389" s="8"/>
      <c r="B3389" s="38" t="s">
        <v>2738</v>
      </c>
      <c r="C3389" s="34" t="s">
        <v>2608</v>
      </c>
      <c r="D3389" s="14" t="s">
        <v>1834</v>
      </c>
    </row>
    <row r="3390" spans="1:4" ht="19.5" customHeight="1">
      <c r="A3390" s="8"/>
      <c r="B3390" s="24" t="s">
        <v>420</v>
      </c>
      <c r="C3390" s="30" t="s">
        <v>2609</v>
      </c>
      <c r="D3390" s="14" t="s">
        <v>422</v>
      </c>
    </row>
    <row r="3391" spans="1:4" ht="19.5" customHeight="1">
      <c r="A3391" s="8"/>
      <c r="B3391" s="24" t="s">
        <v>420</v>
      </c>
      <c r="C3391" s="30" t="s">
        <v>2739</v>
      </c>
      <c r="D3391" s="14" t="s">
        <v>422</v>
      </c>
    </row>
    <row r="3392" spans="1:4" ht="19.5" customHeight="1">
      <c r="A3392" s="8"/>
      <c r="B3392" s="24" t="s">
        <v>420</v>
      </c>
      <c r="C3392" s="30" t="s">
        <v>2609</v>
      </c>
      <c r="D3392" s="14" t="s">
        <v>422</v>
      </c>
    </row>
    <row r="3393" spans="1:4" ht="19.5" customHeight="1">
      <c r="A3393" s="8"/>
      <c r="B3393" s="24" t="s">
        <v>420</v>
      </c>
      <c r="C3393" s="30" t="s">
        <v>2609</v>
      </c>
      <c r="D3393" s="14" t="s">
        <v>422</v>
      </c>
    </row>
    <row r="3394" spans="1:4" ht="19.5" customHeight="1">
      <c r="A3394" s="8"/>
      <c r="B3394" s="24" t="s">
        <v>420</v>
      </c>
      <c r="C3394" s="30" t="s">
        <v>2609</v>
      </c>
      <c r="D3394" s="14" t="s">
        <v>422</v>
      </c>
    </row>
    <row r="3395" spans="1:4" ht="19.5" customHeight="1">
      <c r="A3395" s="8"/>
      <c r="B3395" s="38" t="s">
        <v>2740</v>
      </c>
      <c r="C3395" s="34" t="s">
        <v>2608</v>
      </c>
      <c r="D3395" s="14" t="s">
        <v>2741</v>
      </c>
    </row>
    <row r="3396" spans="1:4" ht="19.5" customHeight="1">
      <c r="A3396" s="8"/>
      <c r="B3396" s="38" t="s">
        <v>2694</v>
      </c>
      <c r="C3396" s="34" t="s">
        <v>2608</v>
      </c>
      <c r="D3396" s="14" t="s">
        <v>1846</v>
      </c>
    </row>
    <row r="3397" spans="1:4" ht="19.5" customHeight="1">
      <c r="A3397" s="8"/>
      <c r="B3397" s="38" t="s">
        <v>2685</v>
      </c>
      <c r="C3397" s="34" t="s">
        <v>2608</v>
      </c>
      <c r="D3397" s="14" t="s">
        <v>438</v>
      </c>
    </row>
    <row r="3398" spans="1:4" ht="19.5" customHeight="1">
      <c r="A3398" s="8"/>
      <c r="B3398" s="38" t="s">
        <v>2711</v>
      </c>
      <c r="C3398" s="36">
        <v>8</v>
      </c>
      <c r="D3398" s="14" t="s">
        <v>2377</v>
      </c>
    </row>
    <row r="3399" spans="1:4" ht="19.5" customHeight="1">
      <c r="A3399" s="8"/>
      <c r="B3399" s="38" t="s">
        <v>2744</v>
      </c>
      <c r="C3399" s="36">
        <v>1</v>
      </c>
      <c r="D3399" s="14" t="s">
        <v>2293</v>
      </c>
    </row>
    <row r="3400" spans="1:4" ht="19.5" customHeight="1">
      <c r="A3400" s="8"/>
      <c r="B3400" s="38" t="s">
        <v>2686</v>
      </c>
      <c r="C3400" s="36">
        <v>1</v>
      </c>
      <c r="D3400" s="14" t="s">
        <v>2587</v>
      </c>
    </row>
    <row r="3401" spans="1:4" ht="19.5" customHeight="1">
      <c r="A3401" s="8"/>
      <c r="B3401" s="38" t="s">
        <v>2695</v>
      </c>
      <c r="C3401" s="36">
        <v>2</v>
      </c>
      <c r="D3401" s="14" t="s">
        <v>1111</v>
      </c>
    </row>
    <row r="3402" spans="1:4" ht="19.5" customHeight="1">
      <c r="A3402" s="8"/>
      <c r="B3402" s="38" t="s">
        <v>2748</v>
      </c>
      <c r="C3402" s="36">
        <v>2</v>
      </c>
      <c r="D3402" s="14" t="s">
        <v>1117</v>
      </c>
    </row>
    <row r="3403" spans="1:4" ht="19.5" customHeight="1">
      <c r="A3403" s="8"/>
      <c r="B3403" s="38" t="s">
        <v>2749</v>
      </c>
      <c r="C3403" s="36">
        <v>2</v>
      </c>
      <c r="D3403" s="14" t="s">
        <v>1119</v>
      </c>
    </row>
    <row r="3404" spans="1:4" ht="19.5" customHeight="1">
      <c r="A3404" s="8"/>
      <c r="B3404" s="38" t="s">
        <v>2687</v>
      </c>
      <c r="C3404" s="36">
        <v>4</v>
      </c>
      <c r="D3404" s="14" t="s">
        <v>1103</v>
      </c>
    </row>
    <row r="3405" spans="1:4" ht="19.5" customHeight="1">
      <c r="A3405" s="8"/>
      <c r="B3405" s="39" t="s">
        <v>2698</v>
      </c>
      <c r="C3405" s="32">
        <v>1</v>
      </c>
      <c r="D3405" s="14" t="s">
        <v>540</v>
      </c>
    </row>
    <row r="3406" spans="1:4" ht="19.5" customHeight="1">
      <c r="A3406" s="8" t="s">
        <v>1661</v>
      </c>
      <c r="B3406" s="37" t="s">
        <v>2743</v>
      </c>
      <c r="C3406" s="34" t="s">
        <v>2608</v>
      </c>
      <c r="D3406" s="14" t="s">
        <v>1822</v>
      </c>
    </row>
    <row r="3407" spans="1:4" ht="19.5" customHeight="1">
      <c r="A3407" s="8"/>
      <c r="B3407" s="38" t="s">
        <v>2738</v>
      </c>
      <c r="C3407" s="34" t="s">
        <v>2608</v>
      </c>
      <c r="D3407" s="14" t="s">
        <v>1834</v>
      </c>
    </row>
    <row r="3408" spans="1:4" ht="19.5" customHeight="1">
      <c r="A3408" s="8"/>
      <c r="B3408" s="24" t="s">
        <v>420</v>
      </c>
      <c r="C3408" s="30" t="s">
        <v>2739</v>
      </c>
      <c r="D3408" s="14" t="s">
        <v>422</v>
      </c>
    </row>
    <row r="3409" spans="1:4" ht="19.5" customHeight="1">
      <c r="A3409" s="8"/>
      <c r="B3409" s="24" t="s">
        <v>420</v>
      </c>
      <c r="C3409" s="30" t="s">
        <v>2609</v>
      </c>
      <c r="D3409" s="14" t="s">
        <v>422</v>
      </c>
    </row>
    <row r="3410" spans="1:4" ht="19.5" customHeight="1">
      <c r="A3410" s="8"/>
      <c r="B3410" s="24" t="s">
        <v>420</v>
      </c>
      <c r="C3410" s="30" t="s">
        <v>2609</v>
      </c>
      <c r="D3410" s="14" t="s">
        <v>422</v>
      </c>
    </row>
    <row r="3411" spans="1:4" ht="19.5" customHeight="1">
      <c r="A3411" s="8"/>
      <c r="B3411" s="24" t="s">
        <v>420</v>
      </c>
      <c r="C3411" s="30" t="s">
        <v>2609</v>
      </c>
      <c r="D3411" s="14" t="s">
        <v>422</v>
      </c>
    </row>
    <row r="3412" spans="1:4" ht="19.5" customHeight="1">
      <c r="A3412" s="8"/>
      <c r="B3412" s="24" t="s">
        <v>420</v>
      </c>
      <c r="C3412" s="30" t="s">
        <v>2609</v>
      </c>
      <c r="D3412" s="14" t="s">
        <v>422</v>
      </c>
    </row>
    <row r="3413" spans="1:4" ht="19.5" customHeight="1">
      <c r="A3413" s="8"/>
      <c r="B3413" s="38" t="s">
        <v>2740</v>
      </c>
      <c r="C3413" s="34" t="s">
        <v>2608</v>
      </c>
      <c r="D3413" s="14" t="s">
        <v>2741</v>
      </c>
    </row>
    <row r="3414" spans="1:4" ht="19.5" customHeight="1">
      <c r="A3414" s="8"/>
      <c r="B3414" s="38" t="s">
        <v>2694</v>
      </c>
      <c r="C3414" s="34" t="s">
        <v>2608</v>
      </c>
      <c r="D3414" s="14" t="s">
        <v>1846</v>
      </c>
    </row>
    <row r="3415" spans="1:4" ht="19.5" customHeight="1">
      <c r="A3415" s="8"/>
      <c r="B3415" s="38" t="s">
        <v>2685</v>
      </c>
      <c r="C3415" s="34" t="s">
        <v>2608</v>
      </c>
      <c r="D3415" s="14" t="s">
        <v>438</v>
      </c>
    </row>
    <row r="3416" spans="1:4" ht="19.5" customHeight="1">
      <c r="A3416" s="8"/>
      <c r="B3416" s="38" t="s">
        <v>2711</v>
      </c>
      <c r="C3416" s="36">
        <v>8</v>
      </c>
      <c r="D3416" s="14" t="s">
        <v>2377</v>
      </c>
    </row>
    <row r="3417" spans="1:4" ht="19.5" customHeight="1">
      <c r="A3417" s="8"/>
      <c r="B3417" s="38" t="s">
        <v>2686</v>
      </c>
      <c r="C3417" s="36">
        <v>1</v>
      </c>
      <c r="D3417" s="14" t="s">
        <v>2587</v>
      </c>
    </row>
    <row r="3418" spans="1:4" ht="19.5" customHeight="1">
      <c r="A3418" s="8"/>
      <c r="B3418" s="38" t="s">
        <v>2695</v>
      </c>
      <c r="C3418" s="36">
        <v>2</v>
      </c>
      <c r="D3418" s="14" t="s">
        <v>1111</v>
      </c>
    </row>
    <row r="3419" spans="1:4" ht="19.5" customHeight="1">
      <c r="A3419" s="8"/>
      <c r="B3419" s="38" t="s">
        <v>2744</v>
      </c>
      <c r="C3419" s="36">
        <v>1</v>
      </c>
      <c r="D3419" s="14" t="s">
        <v>2293</v>
      </c>
    </row>
    <row r="3420" spans="1:4" ht="15" customHeight="1">
      <c r="A3420" s="8"/>
      <c r="B3420" s="38" t="s">
        <v>2748</v>
      </c>
      <c r="C3420" s="36">
        <v>2</v>
      </c>
      <c r="D3420" s="14" t="s">
        <v>1117</v>
      </c>
    </row>
    <row r="3421" spans="1:4" ht="15" customHeight="1">
      <c r="A3421" s="8"/>
      <c r="B3421" s="38" t="s">
        <v>2749</v>
      </c>
      <c r="C3421" s="36">
        <v>2</v>
      </c>
      <c r="D3421" s="14" t="s">
        <v>1119</v>
      </c>
    </row>
    <row r="3422" spans="1:4" ht="15" customHeight="1">
      <c r="A3422" s="8"/>
      <c r="B3422" s="38" t="s">
        <v>2687</v>
      </c>
      <c r="C3422" s="36">
        <v>4</v>
      </c>
      <c r="D3422" s="14" t="s">
        <v>1103</v>
      </c>
    </row>
    <row r="3423" spans="1:4" ht="15" customHeight="1">
      <c r="A3423" s="8"/>
      <c r="B3423" s="39" t="s">
        <v>2698</v>
      </c>
      <c r="C3423" s="32">
        <v>1</v>
      </c>
      <c r="D3423" s="14" t="s">
        <v>540</v>
      </c>
    </row>
    <row r="3424" spans="1:4" ht="15" customHeight="1">
      <c r="A3424" s="35"/>
      <c r="B3424" s="38"/>
      <c r="C3424" s="36"/>
      <c r="D3424" s="14"/>
    </row>
    <row r="3425" spans="1:4" ht="19.5" customHeight="1">
      <c r="A3425" s="35"/>
      <c r="B3425" s="38"/>
      <c r="C3425" s="36"/>
      <c r="D3425" s="14"/>
    </row>
    <row r="3426" spans="1:4" ht="19.5" customHeight="1">
      <c r="A3426" s="35"/>
      <c r="B3426" s="38"/>
      <c r="C3426" s="36"/>
      <c r="D3426" s="14"/>
    </row>
    <row r="3427" spans="1:4" ht="19.5" customHeight="1">
      <c r="A3427" s="35"/>
      <c r="B3427" s="38"/>
      <c r="C3427" s="36"/>
      <c r="D3427" s="14"/>
    </row>
    <row r="3428" spans="1:4" ht="19.5" customHeight="1">
      <c r="A3428" s="35"/>
      <c r="B3428" s="38"/>
      <c r="C3428" s="36"/>
      <c r="D3428" s="14"/>
    </row>
    <row r="3429" spans="1:4" ht="19.5" customHeight="1">
      <c r="A3429" s="35"/>
      <c r="B3429" s="38"/>
      <c r="C3429" s="36"/>
      <c r="D3429" s="14"/>
    </row>
    <row r="3430" spans="1:4" ht="19.5" customHeight="1">
      <c r="A3430" s="35"/>
      <c r="B3430" s="38"/>
      <c r="C3430" s="36"/>
      <c r="D3430" s="14"/>
    </row>
    <row r="3431" spans="1:4" ht="19.5" customHeight="1">
      <c r="A3431" s="8" t="s">
        <v>1663</v>
      </c>
      <c r="B3431" s="37" t="s">
        <v>2737</v>
      </c>
      <c r="C3431" s="34" t="s">
        <v>2608</v>
      </c>
      <c r="D3431" s="14" t="s">
        <v>1826</v>
      </c>
    </row>
    <row r="3432" spans="1:4" ht="19.5" customHeight="1">
      <c r="A3432" s="8"/>
      <c r="B3432" s="38" t="s">
        <v>2738</v>
      </c>
      <c r="C3432" s="34" t="s">
        <v>2608</v>
      </c>
      <c r="D3432" s="14" t="s">
        <v>1834</v>
      </c>
    </row>
    <row r="3433" spans="1:4" ht="19.5" customHeight="1">
      <c r="A3433" s="8"/>
      <c r="B3433" s="24" t="s">
        <v>420</v>
      </c>
      <c r="C3433" s="30" t="s">
        <v>2609</v>
      </c>
      <c r="D3433" s="14" t="s">
        <v>422</v>
      </c>
    </row>
    <row r="3434" spans="1:4" ht="19.5" customHeight="1">
      <c r="A3434" s="8"/>
      <c r="B3434" s="24" t="s">
        <v>420</v>
      </c>
      <c r="C3434" s="30" t="s">
        <v>2739</v>
      </c>
      <c r="D3434" s="14" t="s">
        <v>422</v>
      </c>
    </row>
    <row r="3435" spans="1:4" ht="19.5" customHeight="1">
      <c r="A3435" s="8"/>
      <c r="B3435" s="24" t="s">
        <v>420</v>
      </c>
      <c r="C3435" s="30" t="s">
        <v>2609</v>
      </c>
      <c r="D3435" s="14" t="s">
        <v>422</v>
      </c>
    </row>
    <row r="3436" spans="1:4" ht="19.5" customHeight="1">
      <c r="A3436" s="8"/>
      <c r="B3436" s="24" t="s">
        <v>420</v>
      </c>
      <c r="C3436" s="30" t="s">
        <v>2609</v>
      </c>
      <c r="D3436" s="14" t="s">
        <v>422</v>
      </c>
    </row>
    <row r="3437" spans="1:4" ht="19.5" customHeight="1">
      <c r="A3437" s="8"/>
      <c r="B3437" s="24" t="s">
        <v>420</v>
      </c>
      <c r="C3437" s="30" t="s">
        <v>2609</v>
      </c>
      <c r="D3437" s="14" t="s">
        <v>422</v>
      </c>
    </row>
    <row r="3438" spans="1:4" ht="19.5" customHeight="1">
      <c r="A3438" s="8"/>
      <c r="B3438" s="38" t="s">
        <v>2740</v>
      </c>
      <c r="C3438" s="34" t="s">
        <v>2608</v>
      </c>
      <c r="D3438" s="14" t="s">
        <v>2741</v>
      </c>
    </row>
    <row r="3439" spans="1:4" ht="19.5" customHeight="1">
      <c r="A3439" s="8"/>
      <c r="B3439" s="38" t="s">
        <v>2694</v>
      </c>
      <c r="C3439" s="34" t="s">
        <v>2608</v>
      </c>
      <c r="D3439" s="14" t="s">
        <v>1846</v>
      </c>
    </row>
    <row r="3440" spans="1:4" ht="19.5" customHeight="1">
      <c r="A3440" s="8"/>
      <c r="B3440" s="38" t="s">
        <v>2685</v>
      </c>
      <c r="C3440" s="34" t="s">
        <v>2608</v>
      </c>
      <c r="D3440" s="14" t="s">
        <v>438</v>
      </c>
    </row>
    <row r="3441" spans="1:4" ht="19.5" customHeight="1">
      <c r="A3441" s="8"/>
      <c r="B3441" s="38" t="s">
        <v>2711</v>
      </c>
      <c r="C3441" s="36">
        <v>12</v>
      </c>
      <c r="D3441" s="14" t="s">
        <v>2377</v>
      </c>
    </row>
    <row r="3442" spans="1:4" ht="19.5" customHeight="1">
      <c r="A3442" s="8"/>
      <c r="B3442" s="38" t="s">
        <v>2686</v>
      </c>
      <c r="C3442" s="36">
        <v>1</v>
      </c>
      <c r="D3442" s="14" t="s">
        <v>2587</v>
      </c>
    </row>
    <row r="3443" spans="1:4" ht="19.5" customHeight="1">
      <c r="A3443" s="8"/>
      <c r="B3443" s="38" t="s">
        <v>2695</v>
      </c>
      <c r="C3443" s="36">
        <v>2</v>
      </c>
      <c r="D3443" s="14" t="s">
        <v>1111</v>
      </c>
    </row>
    <row r="3444" spans="1:4" ht="17.25" customHeight="1">
      <c r="A3444" s="8"/>
      <c r="B3444" s="38" t="s">
        <v>2744</v>
      </c>
      <c r="C3444" s="36">
        <v>3</v>
      </c>
      <c r="D3444" s="14" t="s">
        <v>2293</v>
      </c>
    </row>
    <row r="3445" spans="1:4" ht="14.25" customHeight="1">
      <c r="A3445" s="8"/>
      <c r="B3445" s="38" t="s">
        <v>2748</v>
      </c>
      <c r="C3445" s="36">
        <v>2</v>
      </c>
      <c r="D3445" s="14" t="s">
        <v>1117</v>
      </c>
    </row>
    <row r="3446" spans="1:4" ht="19.5" customHeight="1">
      <c r="A3446" s="8"/>
      <c r="B3446" s="38" t="s">
        <v>2749</v>
      </c>
      <c r="C3446" s="36">
        <v>2</v>
      </c>
      <c r="D3446" s="14" t="s">
        <v>1119</v>
      </c>
    </row>
    <row r="3447" spans="1:4" ht="19.5" customHeight="1">
      <c r="A3447" s="8"/>
      <c r="B3447" s="38" t="s">
        <v>2675</v>
      </c>
      <c r="C3447" s="36">
        <v>4</v>
      </c>
      <c r="D3447" s="14" t="s">
        <v>1105</v>
      </c>
    </row>
    <row r="3448" spans="1:4" ht="19.5" customHeight="1">
      <c r="A3448" s="8"/>
      <c r="B3448" s="38" t="s">
        <v>2687</v>
      </c>
      <c r="C3448" s="36">
        <v>4</v>
      </c>
      <c r="D3448" s="14" t="s">
        <v>1103</v>
      </c>
    </row>
    <row r="3449" spans="1:4" ht="15" customHeight="1">
      <c r="A3449" s="8"/>
      <c r="B3449" s="39" t="s">
        <v>2698</v>
      </c>
      <c r="C3449" s="32">
        <v>1</v>
      </c>
      <c r="D3449" s="14" t="s">
        <v>540</v>
      </c>
    </row>
    <row r="3450" spans="1:4" ht="16.5" customHeight="1">
      <c r="A3450" s="8"/>
      <c r="B3450" s="39" t="s">
        <v>2676</v>
      </c>
      <c r="C3450" s="32">
        <v>2</v>
      </c>
      <c r="D3450" s="14" t="s">
        <v>530</v>
      </c>
    </row>
    <row r="3451" spans="1:4" ht="15" customHeight="1">
      <c r="A3451" s="8" t="s">
        <v>1665</v>
      </c>
      <c r="B3451" s="37" t="s">
        <v>2743</v>
      </c>
      <c r="C3451" s="34" t="s">
        <v>2608</v>
      </c>
      <c r="D3451" s="14" t="s">
        <v>1822</v>
      </c>
    </row>
    <row r="3452" spans="1:4" ht="15" customHeight="1">
      <c r="A3452" s="8"/>
      <c r="B3452" s="38" t="s">
        <v>2738</v>
      </c>
      <c r="C3452" s="34" t="s">
        <v>2608</v>
      </c>
      <c r="D3452" s="14" t="s">
        <v>1834</v>
      </c>
    </row>
    <row r="3453" spans="1:4" ht="15" customHeight="1">
      <c r="A3453" s="8"/>
      <c r="B3453" s="24" t="s">
        <v>420</v>
      </c>
      <c r="C3453" s="30" t="s">
        <v>2609</v>
      </c>
      <c r="D3453" s="14" t="s">
        <v>422</v>
      </c>
    </row>
    <row r="3454" spans="1:4" ht="15" customHeight="1">
      <c r="A3454" s="8"/>
      <c r="B3454" s="24" t="s">
        <v>420</v>
      </c>
      <c r="C3454" s="30" t="s">
        <v>2739</v>
      </c>
      <c r="D3454" s="14" t="s">
        <v>422</v>
      </c>
    </row>
    <row r="3455" spans="1:4" ht="15" customHeight="1">
      <c r="A3455" s="8"/>
      <c r="B3455" s="24" t="s">
        <v>420</v>
      </c>
      <c r="C3455" s="30" t="s">
        <v>2609</v>
      </c>
      <c r="D3455" s="14" t="s">
        <v>422</v>
      </c>
    </row>
    <row r="3456" spans="1:4" ht="15" customHeight="1">
      <c r="A3456" s="8"/>
      <c r="B3456" s="24" t="s">
        <v>420</v>
      </c>
      <c r="C3456" s="30" t="s">
        <v>2609</v>
      </c>
      <c r="D3456" s="14" t="s">
        <v>422</v>
      </c>
    </row>
    <row r="3457" spans="1:4" ht="15" customHeight="1">
      <c r="A3457" s="8"/>
      <c r="B3457" s="24" t="s">
        <v>420</v>
      </c>
      <c r="C3457" s="30" t="s">
        <v>2609</v>
      </c>
      <c r="D3457" s="14" t="s">
        <v>422</v>
      </c>
    </row>
    <row r="3458" spans="1:4" ht="15" customHeight="1">
      <c r="A3458" s="8"/>
      <c r="B3458" s="38" t="s">
        <v>2740</v>
      </c>
      <c r="C3458" s="34" t="s">
        <v>2608</v>
      </c>
      <c r="D3458" s="14" t="s">
        <v>2741</v>
      </c>
    </row>
    <row r="3459" spans="1:4" ht="15" customHeight="1">
      <c r="A3459" s="8"/>
      <c r="B3459" s="38" t="s">
        <v>2694</v>
      </c>
      <c r="C3459" s="34" t="s">
        <v>2608</v>
      </c>
      <c r="D3459" s="14" t="s">
        <v>1846</v>
      </c>
    </row>
    <row r="3460" spans="1:4" ht="15" customHeight="1">
      <c r="A3460" s="8"/>
      <c r="B3460" s="38" t="s">
        <v>2685</v>
      </c>
      <c r="C3460" s="34" t="s">
        <v>2608</v>
      </c>
      <c r="D3460" s="14" t="s">
        <v>438</v>
      </c>
    </row>
    <row r="3461" spans="1:4" ht="15" customHeight="1">
      <c r="A3461" s="8"/>
      <c r="B3461" s="38" t="s">
        <v>2711</v>
      </c>
      <c r="C3461" s="36">
        <v>12</v>
      </c>
      <c r="D3461" s="14" t="s">
        <v>2377</v>
      </c>
    </row>
    <row r="3462" spans="1:4" ht="15" customHeight="1">
      <c r="A3462" s="8"/>
      <c r="B3462" s="38" t="s">
        <v>2686</v>
      </c>
      <c r="C3462" s="36">
        <v>1</v>
      </c>
      <c r="D3462" s="14" t="s">
        <v>2587</v>
      </c>
    </row>
    <row r="3463" spans="1:4" ht="15" customHeight="1">
      <c r="A3463" s="8"/>
      <c r="B3463" s="38" t="s">
        <v>2695</v>
      </c>
      <c r="C3463" s="36">
        <v>2</v>
      </c>
      <c r="D3463" s="14" t="s">
        <v>1111</v>
      </c>
    </row>
    <row r="3464" spans="1:4" ht="15" customHeight="1">
      <c r="A3464" s="8"/>
      <c r="B3464" s="38" t="s">
        <v>2744</v>
      </c>
      <c r="C3464" s="36">
        <v>3</v>
      </c>
      <c r="D3464" s="14" t="s">
        <v>2293</v>
      </c>
    </row>
    <row r="3465" spans="1:4" ht="15" customHeight="1">
      <c r="A3465" s="8"/>
      <c r="B3465" s="38" t="s">
        <v>2748</v>
      </c>
      <c r="C3465" s="36">
        <v>2</v>
      </c>
      <c r="D3465" s="14" t="s">
        <v>1117</v>
      </c>
    </row>
    <row r="3466" spans="1:4" ht="15" customHeight="1">
      <c r="A3466" s="8"/>
      <c r="B3466" s="38" t="s">
        <v>2749</v>
      </c>
      <c r="C3466" s="36">
        <v>2</v>
      </c>
      <c r="D3466" s="14" t="s">
        <v>1119</v>
      </c>
    </row>
    <row r="3467" spans="1:4" ht="15" customHeight="1">
      <c r="A3467" s="8"/>
      <c r="B3467" s="38" t="s">
        <v>2675</v>
      </c>
      <c r="C3467" s="36">
        <v>4</v>
      </c>
      <c r="D3467" s="14" t="s">
        <v>1105</v>
      </c>
    </row>
    <row r="3468" spans="1:4" ht="19.5" customHeight="1">
      <c r="A3468" s="8"/>
      <c r="B3468" s="38" t="s">
        <v>2687</v>
      </c>
      <c r="C3468" s="36">
        <v>4</v>
      </c>
      <c r="D3468" s="14" t="s">
        <v>1103</v>
      </c>
    </row>
    <row r="3469" spans="1:4" ht="15" customHeight="1">
      <c r="A3469" s="8"/>
      <c r="B3469" s="39" t="s">
        <v>2698</v>
      </c>
      <c r="C3469" s="32">
        <v>1</v>
      </c>
      <c r="D3469" s="14" t="s">
        <v>540</v>
      </c>
    </row>
    <row r="3470" spans="1:4" ht="19.5" customHeight="1">
      <c r="A3470" s="8"/>
      <c r="B3470" s="39" t="s">
        <v>2676</v>
      </c>
      <c r="C3470" s="32">
        <v>2</v>
      </c>
      <c r="D3470" s="14" t="s">
        <v>530</v>
      </c>
    </row>
    <row r="3471" spans="1:4" ht="19.5" customHeight="1">
      <c r="A3471" s="8" t="s">
        <v>1667</v>
      </c>
      <c r="B3471" s="37" t="s">
        <v>2737</v>
      </c>
      <c r="C3471" s="34" t="s">
        <v>2608</v>
      </c>
      <c r="D3471" s="14" t="s">
        <v>1826</v>
      </c>
    </row>
    <row r="3472" spans="1:4" ht="19.5" customHeight="1">
      <c r="A3472" s="8"/>
      <c r="B3472" s="38" t="s">
        <v>2746</v>
      </c>
      <c r="C3472" s="34" t="s">
        <v>2608</v>
      </c>
      <c r="D3472" s="14" t="s">
        <v>1842</v>
      </c>
    </row>
    <row r="3473" spans="1:4" ht="19.5" customHeight="1">
      <c r="A3473" s="8"/>
      <c r="B3473" s="24" t="s">
        <v>420</v>
      </c>
      <c r="C3473" s="30" t="s">
        <v>2609</v>
      </c>
      <c r="D3473" s="14" t="s">
        <v>422</v>
      </c>
    </row>
    <row r="3474" spans="1:4" ht="19.5" customHeight="1">
      <c r="A3474" s="8"/>
      <c r="B3474" s="24" t="s">
        <v>420</v>
      </c>
      <c r="C3474" s="30" t="s">
        <v>2609</v>
      </c>
      <c r="D3474" s="14" t="s">
        <v>422</v>
      </c>
    </row>
    <row r="3475" spans="1:4" ht="19.5" customHeight="1">
      <c r="A3475" s="8"/>
      <c r="B3475" s="24" t="s">
        <v>420</v>
      </c>
      <c r="C3475" s="30" t="s">
        <v>2739</v>
      </c>
      <c r="D3475" s="14" t="s">
        <v>422</v>
      </c>
    </row>
    <row r="3476" spans="1:4" ht="19.5" customHeight="1">
      <c r="A3476" s="8"/>
      <c r="B3476" s="24" t="s">
        <v>420</v>
      </c>
      <c r="C3476" s="30" t="s">
        <v>2609</v>
      </c>
      <c r="D3476" s="14" t="s">
        <v>422</v>
      </c>
    </row>
    <row r="3477" spans="1:4" ht="19.5" customHeight="1">
      <c r="A3477" s="8"/>
      <c r="B3477" s="24" t="s">
        <v>420</v>
      </c>
      <c r="C3477" s="30" t="s">
        <v>2609</v>
      </c>
      <c r="D3477" s="14" t="s">
        <v>422</v>
      </c>
    </row>
    <row r="3478" spans="1:4" ht="19.5" customHeight="1">
      <c r="A3478" s="8"/>
      <c r="B3478" s="38" t="s">
        <v>2740</v>
      </c>
      <c r="C3478" s="34" t="s">
        <v>2608</v>
      </c>
      <c r="D3478" s="14" t="s">
        <v>2741</v>
      </c>
    </row>
    <row r="3479" spans="1:4" ht="19.5" customHeight="1">
      <c r="A3479" s="8"/>
      <c r="B3479" s="38" t="s">
        <v>2694</v>
      </c>
      <c r="C3479" s="34" t="s">
        <v>2608</v>
      </c>
      <c r="D3479" s="14" t="s">
        <v>1846</v>
      </c>
    </row>
    <row r="3480" spans="1:4" ht="19.5" customHeight="1">
      <c r="A3480" s="8"/>
      <c r="B3480" s="38" t="s">
        <v>2685</v>
      </c>
      <c r="C3480" s="34" t="s">
        <v>2608</v>
      </c>
      <c r="D3480" s="14" t="s">
        <v>438</v>
      </c>
    </row>
    <row r="3481" spans="1:4" ht="19.5" customHeight="1">
      <c r="A3481" s="8"/>
      <c r="B3481" s="38" t="s">
        <v>2711</v>
      </c>
      <c r="C3481" s="36">
        <v>8</v>
      </c>
      <c r="D3481" s="14" t="s">
        <v>2377</v>
      </c>
    </row>
    <row r="3482" spans="1:4" ht="19.5" customHeight="1">
      <c r="A3482" s="8"/>
      <c r="B3482" s="38" t="s">
        <v>2686</v>
      </c>
      <c r="C3482" s="36">
        <v>1</v>
      </c>
      <c r="D3482" s="14" t="s">
        <v>2587</v>
      </c>
    </row>
    <row r="3483" spans="1:4" ht="19.5" customHeight="1">
      <c r="A3483" s="8"/>
      <c r="B3483" s="38" t="s">
        <v>2695</v>
      </c>
      <c r="C3483" s="36">
        <v>2</v>
      </c>
      <c r="D3483" s="14" t="s">
        <v>1111</v>
      </c>
    </row>
    <row r="3484" spans="1:4" ht="19.5" customHeight="1">
      <c r="A3484" s="8"/>
      <c r="B3484" s="38" t="s">
        <v>2744</v>
      </c>
      <c r="C3484" s="36">
        <v>1</v>
      </c>
      <c r="D3484" s="14" t="s">
        <v>2293</v>
      </c>
    </row>
    <row r="3485" spans="1:4" ht="19.5" customHeight="1">
      <c r="A3485" s="8"/>
      <c r="B3485" s="38" t="s">
        <v>2748</v>
      </c>
      <c r="C3485" s="36">
        <v>2</v>
      </c>
      <c r="D3485" s="14" t="s">
        <v>1117</v>
      </c>
    </row>
    <row r="3486" spans="1:4" ht="19.5" customHeight="1">
      <c r="A3486" s="8"/>
      <c r="B3486" s="38" t="s">
        <v>2749</v>
      </c>
      <c r="C3486" s="36">
        <v>2</v>
      </c>
      <c r="D3486" s="14" t="s">
        <v>1119</v>
      </c>
    </row>
    <row r="3487" spans="1:4" ht="19.5" customHeight="1">
      <c r="A3487" s="8"/>
      <c r="B3487" s="38" t="s">
        <v>2687</v>
      </c>
      <c r="C3487" s="36">
        <v>4</v>
      </c>
      <c r="D3487" s="14" t="s">
        <v>1103</v>
      </c>
    </row>
    <row r="3488" spans="1:4" ht="19.5" customHeight="1">
      <c r="A3488" s="8"/>
      <c r="B3488" s="39" t="s">
        <v>2698</v>
      </c>
      <c r="C3488" s="32">
        <v>1</v>
      </c>
      <c r="D3488" s="14" t="s">
        <v>540</v>
      </c>
    </row>
    <row r="3489" spans="1:4" ht="19.5" customHeight="1">
      <c r="A3489" s="35"/>
      <c r="B3489" s="38"/>
      <c r="C3489" s="36"/>
      <c r="D3489" s="14"/>
    </row>
    <row r="3490" spans="1:4" ht="19.5" customHeight="1">
      <c r="A3490" s="9" t="s">
        <v>1669</v>
      </c>
      <c r="B3490" s="37" t="s">
        <v>2743</v>
      </c>
      <c r="C3490" s="34" t="s">
        <v>2608</v>
      </c>
      <c r="D3490" s="14" t="s">
        <v>1822</v>
      </c>
    </row>
    <row r="3491" spans="1:4" ht="19.5" customHeight="1">
      <c r="A3491" s="9"/>
      <c r="B3491" s="38" t="s">
        <v>2746</v>
      </c>
      <c r="C3491" s="34" t="s">
        <v>2608</v>
      </c>
      <c r="D3491" s="14" t="s">
        <v>1842</v>
      </c>
    </row>
    <row r="3492" spans="1:4" ht="19.5" customHeight="1">
      <c r="A3492" s="9"/>
      <c r="B3492" s="24" t="s">
        <v>420</v>
      </c>
      <c r="C3492" s="30" t="s">
        <v>2609</v>
      </c>
      <c r="D3492" s="14" t="s">
        <v>422</v>
      </c>
    </row>
    <row r="3493" spans="1:4" ht="19.5" customHeight="1">
      <c r="A3493" s="9"/>
      <c r="B3493" s="24" t="s">
        <v>420</v>
      </c>
      <c r="C3493" s="30" t="s">
        <v>2609</v>
      </c>
      <c r="D3493" s="14" t="s">
        <v>422</v>
      </c>
    </row>
    <row r="3494" spans="1:4" ht="19.5" customHeight="1">
      <c r="A3494" s="9"/>
      <c r="B3494" s="24" t="s">
        <v>420</v>
      </c>
      <c r="C3494" s="30" t="s">
        <v>2739</v>
      </c>
      <c r="D3494" s="14" t="s">
        <v>422</v>
      </c>
    </row>
    <row r="3495" spans="1:4" ht="19.5" customHeight="1">
      <c r="A3495" s="9"/>
      <c r="B3495" s="24" t="s">
        <v>420</v>
      </c>
      <c r="C3495" s="30" t="s">
        <v>2609</v>
      </c>
      <c r="D3495" s="14" t="s">
        <v>422</v>
      </c>
    </row>
    <row r="3496" spans="1:4" ht="19.5" customHeight="1">
      <c r="A3496" s="9"/>
      <c r="B3496" s="24" t="s">
        <v>420</v>
      </c>
      <c r="C3496" s="30" t="s">
        <v>2609</v>
      </c>
      <c r="D3496" s="14" t="s">
        <v>422</v>
      </c>
    </row>
    <row r="3497" spans="1:4" ht="19.5" customHeight="1">
      <c r="A3497" s="9"/>
      <c r="B3497" s="38" t="s">
        <v>2740</v>
      </c>
      <c r="C3497" s="34" t="s">
        <v>2608</v>
      </c>
      <c r="D3497" s="14" t="s">
        <v>2741</v>
      </c>
    </row>
    <row r="3498" spans="1:4" ht="19.5" customHeight="1">
      <c r="A3498" s="9"/>
      <c r="B3498" s="38" t="s">
        <v>2694</v>
      </c>
      <c r="C3498" s="34" t="s">
        <v>2608</v>
      </c>
      <c r="D3498" s="14" t="s">
        <v>1846</v>
      </c>
    </row>
    <row r="3499" spans="1:4" ht="15" customHeight="1">
      <c r="A3499" s="9"/>
      <c r="B3499" s="38" t="s">
        <v>2685</v>
      </c>
      <c r="C3499" s="34" t="s">
        <v>2608</v>
      </c>
      <c r="D3499" s="14" t="s">
        <v>438</v>
      </c>
    </row>
    <row r="3500" spans="1:4" ht="15" customHeight="1">
      <c r="A3500" s="9"/>
      <c r="B3500" s="38" t="s">
        <v>2711</v>
      </c>
      <c r="C3500" s="36">
        <v>8</v>
      </c>
      <c r="D3500" s="14" t="s">
        <v>2377</v>
      </c>
    </row>
    <row r="3501" spans="1:4" ht="15" customHeight="1">
      <c r="A3501" s="9"/>
      <c r="B3501" s="38" t="s">
        <v>2686</v>
      </c>
      <c r="C3501" s="36">
        <v>1</v>
      </c>
      <c r="D3501" s="14" t="s">
        <v>2587</v>
      </c>
    </row>
    <row r="3502" spans="1:4" ht="15" customHeight="1">
      <c r="A3502" s="9"/>
      <c r="B3502" s="38" t="s">
        <v>2695</v>
      </c>
      <c r="C3502" s="36">
        <v>2</v>
      </c>
      <c r="D3502" s="14" t="s">
        <v>1111</v>
      </c>
    </row>
    <row r="3503" spans="1:4" ht="15" customHeight="1">
      <c r="A3503" s="9"/>
      <c r="B3503" s="38" t="s">
        <v>2744</v>
      </c>
      <c r="C3503" s="36">
        <v>1</v>
      </c>
      <c r="D3503" s="14" t="s">
        <v>2293</v>
      </c>
    </row>
    <row r="3504" spans="1:4" ht="19.5" customHeight="1">
      <c r="A3504" s="9"/>
      <c r="B3504" s="38" t="s">
        <v>2748</v>
      </c>
      <c r="C3504" s="36">
        <v>2</v>
      </c>
      <c r="D3504" s="14" t="s">
        <v>1117</v>
      </c>
    </row>
    <row r="3505" spans="1:4" ht="19.5" customHeight="1">
      <c r="A3505" s="9"/>
      <c r="B3505" s="38" t="s">
        <v>2749</v>
      </c>
      <c r="C3505" s="36">
        <v>2</v>
      </c>
      <c r="D3505" s="14" t="s">
        <v>1119</v>
      </c>
    </row>
    <row r="3506" spans="1:4" ht="19.5" customHeight="1">
      <c r="A3506" s="9"/>
      <c r="B3506" s="38" t="s">
        <v>2687</v>
      </c>
      <c r="C3506" s="36">
        <v>4</v>
      </c>
      <c r="D3506" s="14" t="s">
        <v>1103</v>
      </c>
    </row>
    <row r="3507" spans="1:4" ht="19.5" customHeight="1">
      <c r="A3507" s="9"/>
      <c r="B3507" s="39" t="s">
        <v>2698</v>
      </c>
      <c r="C3507" s="32">
        <v>1</v>
      </c>
      <c r="D3507" s="14" t="s">
        <v>540</v>
      </c>
    </row>
    <row r="3508" spans="1:4" ht="19.5" customHeight="1">
      <c r="A3508" s="35"/>
      <c r="B3508" s="38"/>
      <c r="C3508" s="36"/>
      <c r="D3508" s="14"/>
    </row>
    <row r="3509" spans="1:4" ht="19.5" customHeight="1">
      <c r="A3509" s="35"/>
      <c r="B3509" s="38"/>
      <c r="C3509" s="36"/>
      <c r="D3509" s="14"/>
    </row>
    <row r="3510" spans="1:4" ht="19.5" customHeight="1">
      <c r="A3510" s="35"/>
      <c r="B3510" s="38"/>
      <c r="C3510" s="36"/>
      <c r="D3510" s="14"/>
    </row>
    <row r="3511" spans="1:4" ht="19.5" customHeight="1">
      <c r="A3511" s="8" t="s">
        <v>1671</v>
      </c>
      <c r="B3511" s="37" t="s">
        <v>2737</v>
      </c>
      <c r="C3511" s="34" t="s">
        <v>2608</v>
      </c>
      <c r="D3511" s="14" t="s">
        <v>1826</v>
      </c>
    </row>
    <row r="3512" spans="1:4" ht="19.5" customHeight="1">
      <c r="A3512" s="8"/>
      <c r="B3512" s="38" t="s">
        <v>2746</v>
      </c>
      <c r="C3512" s="34" t="s">
        <v>2608</v>
      </c>
      <c r="D3512" s="14" t="s">
        <v>1842</v>
      </c>
    </row>
    <row r="3513" spans="1:4" ht="19.5" customHeight="1">
      <c r="A3513" s="8"/>
      <c r="B3513" s="24" t="s">
        <v>420</v>
      </c>
      <c r="C3513" s="30" t="s">
        <v>2609</v>
      </c>
      <c r="D3513" s="14" t="s">
        <v>422</v>
      </c>
    </row>
    <row r="3514" spans="1:4" ht="19.5" customHeight="1">
      <c r="A3514" s="8"/>
      <c r="B3514" s="24" t="s">
        <v>420</v>
      </c>
      <c r="C3514" s="30" t="s">
        <v>2739</v>
      </c>
      <c r="D3514" s="14" t="s">
        <v>422</v>
      </c>
    </row>
    <row r="3515" spans="1:4" ht="19.5" customHeight="1">
      <c r="A3515" s="8"/>
      <c r="B3515" s="24" t="s">
        <v>420</v>
      </c>
      <c r="C3515" s="30" t="s">
        <v>2609</v>
      </c>
      <c r="D3515" s="14" t="s">
        <v>422</v>
      </c>
    </row>
    <row r="3516" spans="1:4" ht="19.5" customHeight="1">
      <c r="A3516" s="8"/>
      <c r="B3516" s="24" t="s">
        <v>420</v>
      </c>
      <c r="C3516" s="30" t="s">
        <v>2609</v>
      </c>
      <c r="D3516" s="14" t="s">
        <v>422</v>
      </c>
    </row>
    <row r="3517" spans="1:4" ht="19.5" customHeight="1">
      <c r="A3517" s="8"/>
      <c r="B3517" s="24" t="s">
        <v>420</v>
      </c>
      <c r="C3517" s="30" t="s">
        <v>2609</v>
      </c>
      <c r="D3517" s="14" t="s">
        <v>422</v>
      </c>
    </row>
    <row r="3518" spans="1:4" ht="19.5" customHeight="1">
      <c r="A3518" s="8"/>
      <c r="B3518" s="38" t="s">
        <v>2740</v>
      </c>
      <c r="C3518" s="34" t="s">
        <v>2608</v>
      </c>
      <c r="D3518" s="14" t="s">
        <v>2741</v>
      </c>
    </row>
    <row r="3519" spans="1:4" ht="19.5" customHeight="1">
      <c r="A3519" s="8"/>
      <c r="B3519" s="38" t="s">
        <v>2694</v>
      </c>
      <c r="C3519" s="34" t="s">
        <v>2608</v>
      </c>
      <c r="D3519" s="14" t="s">
        <v>1846</v>
      </c>
    </row>
    <row r="3520" spans="1:4" ht="19.5" customHeight="1">
      <c r="A3520" s="8"/>
      <c r="B3520" s="38" t="s">
        <v>2685</v>
      </c>
      <c r="C3520" s="34" t="s">
        <v>2608</v>
      </c>
      <c r="D3520" s="14" t="s">
        <v>438</v>
      </c>
    </row>
    <row r="3521" spans="1:4" ht="19.5" customHeight="1">
      <c r="A3521" s="8"/>
      <c r="B3521" s="38" t="s">
        <v>2711</v>
      </c>
      <c r="C3521" s="36">
        <v>12</v>
      </c>
      <c r="D3521" s="14" t="s">
        <v>2377</v>
      </c>
    </row>
    <row r="3522" spans="1:4" ht="19.5" customHeight="1">
      <c r="A3522" s="8"/>
      <c r="B3522" s="38" t="s">
        <v>2686</v>
      </c>
      <c r="C3522" s="36">
        <v>1</v>
      </c>
      <c r="D3522" s="14" t="s">
        <v>2587</v>
      </c>
    </row>
    <row r="3523" spans="1:4" ht="19.5" customHeight="1">
      <c r="A3523" s="8"/>
      <c r="B3523" s="38" t="s">
        <v>2695</v>
      </c>
      <c r="C3523" s="36">
        <v>2</v>
      </c>
      <c r="D3523" s="14" t="s">
        <v>1111</v>
      </c>
    </row>
    <row r="3524" spans="1:4" ht="19.5" customHeight="1">
      <c r="A3524" s="8"/>
      <c r="B3524" s="38" t="s">
        <v>2744</v>
      </c>
      <c r="C3524" s="36">
        <v>3</v>
      </c>
      <c r="D3524" s="14" t="s">
        <v>2293</v>
      </c>
    </row>
    <row r="3525" spans="1:4" ht="19.5" customHeight="1">
      <c r="A3525" s="8"/>
      <c r="B3525" s="38" t="s">
        <v>2748</v>
      </c>
      <c r="C3525" s="36">
        <v>2</v>
      </c>
      <c r="D3525" s="14" t="s">
        <v>1117</v>
      </c>
    </row>
    <row r="3526" spans="1:4" ht="19.5" customHeight="1">
      <c r="A3526" s="8"/>
      <c r="B3526" s="38" t="s">
        <v>2749</v>
      </c>
      <c r="C3526" s="36">
        <v>2</v>
      </c>
      <c r="D3526" s="14" t="s">
        <v>1119</v>
      </c>
    </row>
    <row r="3527" spans="1:4" ht="19.5" customHeight="1">
      <c r="A3527" s="8"/>
      <c r="B3527" s="38" t="s">
        <v>2675</v>
      </c>
      <c r="C3527" s="36">
        <v>4</v>
      </c>
      <c r="D3527" s="14" t="s">
        <v>1105</v>
      </c>
    </row>
    <row r="3528" spans="1:4" ht="19.5" customHeight="1">
      <c r="A3528" s="8"/>
      <c r="B3528" s="38" t="s">
        <v>2687</v>
      </c>
      <c r="C3528" s="36">
        <v>4</v>
      </c>
      <c r="D3528" s="14" t="s">
        <v>1103</v>
      </c>
    </row>
    <row r="3529" spans="1:4" ht="19.5" customHeight="1">
      <c r="A3529" s="8"/>
      <c r="B3529" s="39" t="s">
        <v>2698</v>
      </c>
      <c r="C3529" s="36">
        <v>1</v>
      </c>
      <c r="D3529" s="14" t="s">
        <v>540</v>
      </c>
    </row>
    <row r="3530" spans="1:4" ht="19.5" customHeight="1">
      <c r="A3530" s="8"/>
      <c r="B3530" s="39" t="s">
        <v>2676</v>
      </c>
      <c r="C3530" s="32">
        <v>2</v>
      </c>
      <c r="D3530" s="14" t="s">
        <v>530</v>
      </c>
    </row>
    <row r="3531" spans="1:4" ht="19.5" customHeight="1">
      <c r="A3531" s="35"/>
      <c r="B3531" s="38"/>
      <c r="C3531" s="36"/>
      <c r="D3531" s="14"/>
    </row>
    <row r="3532" spans="1:4" ht="19.5" customHeight="1">
      <c r="A3532" s="8" t="s">
        <v>1673</v>
      </c>
      <c r="B3532" s="37" t="s">
        <v>2743</v>
      </c>
      <c r="C3532" s="34" t="s">
        <v>2608</v>
      </c>
      <c r="D3532" s="14" t="s">
        <v>1822</v>
      </c>
    </row>
    <row r="3533" spans="1:4" ht="19.5" customHeight="1">
      <c r="A3533" s="8"/>
      <c r="B3533" s="38" t="s">
        <v>2746</v>
      </c>
      <c r="C3533" s="34" t="s">
        <v>2608</v>
      </c>
      <c r="D3533" s="14" t="s">
        <v>1842</v>
      </c>
    </row>
    <row r="3534" spans="1:4" ht="19.5" customHeight="1">
      <c r="A3534" s="8"/>
      <c r="B3534" s="24" t="s">
        <v>420</v>
      </c>
      <c r="C3534" s="30" t="s">
        <v>2609</v>
      </c>
      <c r="D3534" s="14" t="s">
        <v>422</v>
      </c>
    </row>
    <row r="3535" spans="1:4" ht="19.5" customHeight="1">
      <c r="A3535" s="8"/>
      <c r="B3535" s="24" t="s">
        <v>420</v>
      </c>
      <c r="C3535" s="30" t="s">
        <v>2609</v>
      </c>
      <c r="D3535" s="14" t="s">
        <v>422</v>
      </c>
    </row>
    <row r="3536" spans="1:4" ht="19.5" customHeight="1">
      <c r="A3536" s="8"/>
      <c r="B3536" s="24" t="s">
        <v>420</v>
      </c>
      <c r="C3536" s="30" t="s">
        <v>2739</v>
      </c>
      <c r="D3536" s="14" t="s">
        <v>422</v>
      </c>
    </row>
    <row r="3537" spans="1:4" ht="19.5" customHeight="1">
      <c r="A3537" s="8"/>
      <c r="B3537" s="24" t="s">
        <v>420</v>
      </c>
      <c r="C3537" s="30" t="s">
        <v>2609</v>
      </c>
      <c r="D3537" s="14" t="s">
        <v>422</v>
      </c>
    </row>
    <row r="3538" spans="1:4" ht="19.5" customHeight="1">
      <c r="A3538" s="8"/>
      <c r="B3538" s="24" t="s">
        <v>420</v>
      </c>
      <c r="C3538" s="30" t="s">
        <v>2609</v>
      </c>
      <c r="D3538" s="14" t="s">
        <v>422</v>
      </c>
    </row>
    <row r="3539" spans="1:4" ht="19.5" customHeight="1">
      <c r="A3539" s="8"/>
      <c r="B3539" s="38" t="s">
        <v>2740</v>
      </c>
      <c r="C3539" s="34" t="s">
        <v>2608</v>
      </c>
      <c r="D3539" s="14" t="s">
        <v>2741</v>
      </c>
    </row>
    <row r="3540" spans="1:4" ht="19.5" customHeight="1">
      <c r="A3540" s="8"/>
      <c r="B3540" s="38" t="s">
        <v>2694</v>
      </c>
      <c r="C3540" s="34" t="s">
        <v>2608</v>
      </c>
      <c r="D3540" s="14" t="s">
        <v>1846</v>
      </c>
    </row>
    <row r="3541" spans="1:4" ht="19.5" customHeight="1">
      <c r="A3541" s="8"/>
      <c r="B3541" s="38" t="s">
        <v>2685</v>
      </c>
      <c r="C3541" s="34" t="s">
        <v>2608</v>
      </c>
      <c r="D3541" s="14" t="s">
        <v>438</v>
      </c>
    </row>
    <row r="3542" spans="1:4" ht="19.5" customHeight="1">
      <c r="A3542" s="8"/>
      <c r="B3542" s="38" t="s">
        <v>2711</v>
      </c>
      <c r="C3542" s="36">
        <v>12</v>
      </c>
      <c r="D3542" s="14" t="s">
        <v>2377</v>
      </c>
    </row>
    <row r="3543" spans="1:4" ht="19.5" customHeight="1">
      <c r="A3543" s="8"/>
      <c r="B3543" s="38" t="s">
        <v>2686</v>
      </c>
      <c r="C3543" s="36">
        <v>1</v>
      </c>
      <c r="D3543" s="14" t="s">
        <v>2587</v>
      </c>
    </row>
    <row r="3544" spans="1:4" ht="15" customHeight="1">
      <c r="A3544" s="8"/>
      <c r="B3544" s="38" t="s">
        <v>2695</v>
      </c>
      <c r="C3544" s="36">
        <v>2</v>
      </c>
      <c r="D3544" s="14" t="s">
        <v>1111</v>
      </c>
    </row>
    <row r="3545" spans="1:4" ht="15" customHeight="1">
      <c r="A3545" s="8"/>
      <c r="B3545" s="38" t="s">
        <v>2744</v>
      </c>
      <c r="C3545" s="36">
        <v>3</v>
      </c>
      <c r="D3545" s="14" t="s">
        <v>2293</v>
      </c>
    </row>
    <row r="3546" spans="1:4" ht="15" customHeight="1">
      <c r="A3546" s="8"/>
      <c r="B3546" s="38" t="s">
        <v>2748</v>
      </c>
      <c r="C3546" s="36">
        <v>2</v>
      </c>
      <c r="D3546" s="14" t="s">
        <v>1117</v>
      </c>
    </row>
    <row r="3547" spans="1:4" ht="15" customHeight="1">
      <c r="A3547" s="8"/>
      <c r="B3547" s="38" t="s">
        <v>2749</v>
      </c>
      <c r="C3547" s="36">
        <v>2</v>
      </c>
      <c r="D3547" s="14" t="s">
        <v>1119</v>
      </c>
    </row>
    <row r="3548" spans="1:4" ht="15" customHeight="1">
      <c r="A3548" s="8"/>
      <c r="B3548" s="38" t="s">
        <v>2675</v>
      </c>
      <c r="C3548" s="36">
        <v>4</v>
      </c>
      <c r="D3548" s="14" t="s">
        <v>1105</v>
      </c>
    </row>
    <row r="3549" spans="1:4" ht="15" customHeight="1">
      <c r="A3549" s="8"/>
      <c r="B3549" s="38" t="s">
        <v>2687</v>
      </c>
      <c r="C3549" s="36">
        <v>4</v>
      </c>
      <c r="D3549" s="14" t="s">
        <v>1103</v>
      </c>
    </row>
    <row r="3550" spans="1:4" ht="15" customHeight="1">
      <c r="A3550" s="8"/>
      <c r="B3550" s="39" t="s">
        <v>2698</v>
      </c>
      <c r="C3550" s="36">
        <v>1</v>
      </c>
      <c r="D3550" s="14" t="s">
        <v>540</v>
      </c>
    </row>
    <row r="3551" spans="1:4" ht="15" customHeight="1">
      <c r="A3551" s="8"/>
      <c r="B3551" s="39" t="s">
        <v>2676</v>
      </c>
      <c r="C3551" s="32">
        <v>2</v>
      </c>
      <c r="D3551" s="14" t="s">
        <v>530</v>
      </c>
    </row>
    <row r="3552" spans="1:4" ht="19.5" customHeight="1">
      <c r="A3552" s="8" t="s">
        <v>1675</v>
      </c>
      <c r="B3552" s="37" t="s">
        <v>2737</v>
      </c>
      <c r="C3552" s="34" t="s">
        <v>2608</v>
      </c>
      <c r="D3552" s="14" t="s">
        <v>1826</v>
      </c>
    </row>
    <row r="3553" spans="1:4" ht="15" customHeight="1">
      <c r="A3553" s="8"/>
      <c r="B3553" s="38" t="s">
        <v>2746</v>
      </c>
      <c r="C3553" s="34" t="s">
        <v>2608</v>
      </c>
      <c r="D3553" s="14" t="s">
        <v>1842</v>
      </c>
    </row>
    <row r="3554" spans="1:4" ht="19.5" customHeight="1">
      <c r="A3554" s="8"/>
      <c r="B3554" s="24" t="s">
        <v>420</v>
      </c>
      <c r="C3554" s="30" t="s">
        <v>2609</v>
      </c>
      <c r="D3554" s="14" t="s">
        <v>422</v>
      </c>
    </row>
    <row r="3555" spans="1:4" ht="19.5" customHeight="1">
      <c r="A3555" s="8"/>
      <c r="B3555" s="24" t="s">
        <v>420</v>
      </c>
      <c r="C3555" s="30" t="s">
        <v>2739</v>
      </c>
      <c r="D3555" s="14" t="s">
        <v>422</v>
      </c>
    </row>
    <row r="3556" spans="1:4" ht="19.5" customHeight="1">
      <c r="A3556" s="8"/>
      <c r="B3556" s="24" t="s">
        <v>420</v>
      </c>
      <c r="C3556" s="30" t="s">
        <v>2609</v>
      </c>
      <c r="D3556" s="14" t="s">
        <v>422</v>
      </c>
    </row>
    <row r="3557" spans="1:4" ht="19.5" customHeight="1">
      <c r="A3557" s="8"/>
      <c r="B3557" s="24" t="s">
        <v>420</v>
      </c>
      <c r="C3557" s="30" t="s">
        <v>2609</v>
      </c>
      <c r="D3557" s="14" t="s">
        <v>422</v>
      </c>
    </row>
    <row r="3558" spans="1:4" ht="19.5" customHeight="1">
      <c r="A3558" s="8"/>
      <c r="B3558" s="24" t="s">
        <v>420</v>
      </c>
      <c r="C3558" s="30" t="s">
        <v>2609</v>
      </c>
      <c r="D3558" s="14" t="s">
        <v>422</v>
      </c>
    </row>
    <row r="3559" spans="1:4" ht="19.5" customHeight="1">
      <c r="A3559" s="8"/>
      <c r="B3559" s="38" t="s">
        <v>2740</v>
      </c>
      <c r="C3559" s="34" t="s">
        <v>2608</v>
      </c>
      <c r="D3559" s="14" t="s">
        <v>2741</v>
      </c>
    </row>
    <row r="3560" spans="1:4" ht="19.5" customHeight="1">
      <c r="A3560" s="8"/>
      <c r="B3560" s="38" t="s">
        <v>2694</v>
      </c>
      <c r="C3560" s="34" t="s">
        <v>2608</v>
      </c>
      <c r="D3560" s="14" t="s">
        <v>1846</v>
      </c>
    </row>
    <row r="3561" spans="1:4" ht="19.5" customHeight="1">
      <c r="A3561" s="8"/>
      <c r="B3561" s="38" t="s">
        <v>2685</v>
      </c>
      <c r="C3561" s="34" t="s">
        <v>2608</v>
      </c>
      <c r="D3561" s="14" t="s">
        <v>438</v>
      </c>
    </row>
    <row r="3562" spans="1:4" ht="19.5" customHeight="1">
      <c r="A3562" s="8"/>
      <c r="B3562" s="38" t="s">
        <v>2686</v>
      </c>
      <c r="C3562" s="36">
        <v>1</v>
      </c>
      <c r="D3562" s="14" t="s">
        <v>2587</v>
      </c>
    </row>
    <row r="3563" spans="1:4" ht="19.5" customHeight="1">
      <c r="A3563" s="8"/>
      <c r="B3563" s="38" t="s">
        <v>2695</v>
      </c>
      <c r="C3563" s="36">
        <v>2</v>
      </c>
      <c r="D3563" s="14" t="s">
        <v>1111</v>
      </c>
    </row>
    <row r="3564" spans="1:4" ht="19.5" customHeight="1">
      <c r="A3564" s="8"/>
      <c r="B3564" s="38" t="s">
        <v>2744</v>
      </c>
      <c r="C3564" s="36">
        <v>1</v>
      </c>
      <c r="D3564" s="14" t="s">
        <v>2293</v>
      </c>
    </row>
    <row r="3565" spans="1:4" ht="19.5" customHeight="1">
      <c r="A3565" s="8"/>
      <c r="B3565" s="38" t="s">
        <v>2752</v>
      </c>
      <c r="C3565" s="36">
        <v>1</v>
      </c>
      <c r="D3565" s="14" t="s">
        <v>708</v>
      </c>
    </row>
    <row r="3566" spans="1:4" ht="19.5" customHeight="1">
      <c r="A3566" s="8" t="s">
        <v>2753</v>
      </c>
      <c r="B3566" s="37" t="s">
        <v>2743</v>
      </c>
      <c r="C3566" s="34" t="s">
        <v>2608</v>
      </c>
      <c r="D3566" s="14" t="s">
        <v>1822</v>
      </c>
    </row>
    <row r="3567" spans="1:4" ht="19.5" customHeight="1">
      <c r="A3567" s="8"/>
      <c r="B3567" s="38" t="s">
        <v>2746</v>
      </c>
      <c r="C3567" s="34" t="s">
        <v>2608</v>
      </c>
      <c r="D3567" s="14" t="s">
        <v>1842</v>
      </c>
    </row>
    <row r="3568" spans="1:4" ht="19.5" customHeight="1">
      <c r="A3568" s="8"/>
      <c r="B3568" s="24" t="s">
        <v>420</v>
      </c>
      <c r="C3568" s="30" t="s">
        <v>2609</v>
      </c>
      <c r="D3568" s="14" t="s">
        <v>422</v>
      </c>
    </row>
    <row r="3569" spans="1:4" ht="19.5" customHeight="1">
      <c r="A3569" s="8"/>
      <c r="B3569" s="24" t="s">
        <v>420</v>
      </c>
      <c r="C3569" s="30" t="s">
        <v>2739</v>
      </c>
      <c r="D3569" s="14" t="s">
        <v>422</v>
      </c>
    </row>
    <row r="3570" spans="1:4" ht="19.5" customHeight="1">
      <c r="A3570" s="8"/>
      <c r="B3570" s="24" t="s">
        <v>420</v>
      </c>
      <c r="C3570" s="30" t="s">
        <v>2609</v>
      </c>
      <c r="D3570" s="14" t="s">
        <v>422</v>
      </c>
    </row>
    <row r="3571" spans="1:4" ht="19.5" customHeight="1">
      <c r="A3571" s="8"/>
      <c r="B3571" s="24" t="s">
        <v>420</v>
      </c>
      <c r="C3571" s="30" t="s">
        <v>2609</v>
      </c>
      <c r="D3571" s="14" t="s">
        <v>422</v>
      </c>
    </row>
    <row r="3572" spans="1:4" ht="19.5" customHeight="1">
      <c r="A3572" s="8"/>
      <c r="B3572" s="24" t="s">
        <v>420</v>
      </c>
      <c r="C3572" s="30" t="s">
        <v>2609</v>
      </c>
      <c r="D3572" s="14" t="s">
        <v>422</v>
      </c>
    </row>
    <row r="3573" spans="1:4" ht="19.5" customHeight="1">
      <c r="A3573" s="8"/>
      <c r="B3573" s="38" t="s">
        <v>2740</v>
      </c>
      <c r="C3573" s="34" t="s">
        <v>2608</v>
      </c>
      <c r="D3573" s="14" t="s">
        <v>2741</v>
      </c>
    </row>
    <row r="3574" spans="1:4" ht="19.5" customHeight="1">
      <c r="A3574" s="8"/>
      <c r="B3574" s="38" t="s">
        <v>2694</v>
      </c>
      <c r="C3574" s="34" t="s">
        <v>2608</v>
      </c>
      <c r="D3574" s="14" t="s">
        <v>1846</v>
      </c>
    </row>
    <row r="3575" spans="1:4" ht="15" customHeight="1">
      <c r="A3575" s="8"/>
      <c r="B3575" s="38" t="s">
        <v>2685</v>
      </c>
      <c r="C3575" s="34" t="s">
        <v>2608</v>
      </c>
      <c r="D3575" s="14" t="s">
        <v>438</v>
      </c>
    </row>
    <row r="3576" spans="1:4" ht="15" customHeight="1">
      <c r="A3576" s="8"/>
      <c r="B3576" s="38" t="s">
        <v>2686</v>
      </c>
      <c r="C3576" s="36">
        <v>1</v>
      </c>
      <c r="D3576" s="14" t="s">
        <v>2587</v>
      </c>
    </row>
    <row r="3577" spans="1:4" ht="19.5" customHeight="1">
      <c r="A3577" s="8"/>
      <c r="B3577" s="38" t="s">
        <v>2695</v>
      </c>
      <c r="C3577" s="36">
        <v>2</v>
      </c>
      <c r="D3577" s="14" t="s">
        <v>1111</v>
      </c>
    </row>
    <row r="3578" spans="1:4" ht="15" customHeight="1">
      <c r="A3578" s="8"/>
      <c r="B3578" s="38" t="s">
        <v>2744</v>
      </c>
      <c r="C3578" s="36">
        <v>1</v>
      </c>
      <c r="D3578" s="14" t="s">
        <v>2293</v>
      </c>
    </row>
    <row r="3579" spans="1:4" ht="15" customHeight="1">
      <c r="A3579" s="8"/>
      <c r="B3579" s="38" t="s">
        <v>2752</v>
      </c>
      <c r="C3579" s="36">
        <v>1</v>
      </c>
      <c r="D3579" s="14" t="s">
        <v>708</v>
      </c>
    </row>
    <row r="3580" spans="1:4" ht="15" customHeight="1">
      <c r="A3580" s="8" t="s">
        <v>1679</v>
      </c>
      <c r="B3580" s="37" t="s">
        <v>2737</v>
      </c>
      <c r="C3580" s="34" t="s">
        <v>2608</v>
      </c>
      <c r="D3580" s="14" t="s">
        <v>1826</v>
      </c>
    </row>
    <row r="3581" spans="1:4" ht="15" customHeight="1">
      <c r="A3581" s="8"/>
      <c r="B3581" s="38" t="s">
        <v>2738</v>
      </c>
      <c r="C3581" s="34" t="s">
        <v>2608</v>
      </c>
      <c r="D3581" s="14" t="s">
        <v>1834</v>
      </c>
    </row>
    <row r="3582" spans="1:4" ht="15" customHeight="1">
      <c r="A3582" s="8"/>
      <c r="B3582" s="24" t="s">
        <v>420</v>
      </c>
      <c r="C3582" s="30" t="s">
        <v>2739</v>
      </c>
      <c r="D3582" s="14" t="s">
        <v>422</v>
      </c>
    </row>
    <row r="3583" spans="1:4" ht="15" customHeight="1">
      <c r="A3583" s="8"/>
      <c r="B3583" s="24" t="s">
        <v>420</v>
      </c>
      <c r="C3583" s="30" t="s">
        <v>2609</v>
      </c>
      <c r="D3583" s="14" t="s">
        <v>422</v>
      </c>
    </row>
    <row r="3584" spans="1:4" ht="15" customHeight="1">
      <c r="A3584" s="8"/>
      <c r="B3584" s="24" t="s">
        <v>420</v>
      </c>
      <c r="C3584" s="30" t="s">
        <v>2609</v>
      </c>
      <c r="D3584" s="14" t="s">
        <v>422</v>
      </c>
    </row>
    <row r="3585" spans="1:4" ht="15" customHeight="1">
      <c r="A3585" s="8"/>
      <c r="B3585" s="38" t="s">
        <v>2740</v>
      </c>
      <c r="C3585" s="34" t="s">
        <v>2608</v>
      </c>
      <c r="D3585" s="14" t="s">
        <v>2741</v>
      </c>
    </row>
    <row r="3586" spans="1:4" ht="15" customHeight="1">
      <c r="A3586" s="8"/>
      <c r="B3586" s="38" t="s">
        <v>2744</v>
      </c>
      <c r="C3586" s="36">
        <v>1</v>
      </c>
      <c r="D3586" s="14" t="s">
        <v>2293</v>
      </c>
    </row>
    <row r="3587" spans="1:4" ht="15" customHeight="1">
      <c r="A3587" s="8"/>
      <c r="B3587" s="38" t="s">
        <v>2754</v>
      </c>
      <c r="C3587" s="36">
        <v>1</v>
      </c>
      <c r="D3587" s="14" t="s">
        <v>1105</v>
      </c>
    </row>
    <row r="3588" spans="1:4" ht="19.5" customHeight="1">
      <c r="A3588" s="35"/>
      <c r="B3588" s="38"/>
      <c r="C3588" s="36"/>
      <c r="D3588" s="14"/>
    </row>
    <row r="3589" spans="1:4" ht="19.5" customHeight="1">
      <c r="A3589" s="35"/>
      <c r="B3589" s="38"/>
      <c r="C3589" s="36"/>
      <c r="D3589" s="14"/>
    </row>
    <row r="3590" spans="1:4" ht="19.5" customHeight="1">
      <c r="A3590" s="35"/>
      <c r="B3590" s="38"/>
      <c r="C3590" s="36"/>
      <c r="D3590" s="14"/>
    </row>
    <row r="3591" spans="1:4" ht="19.5" customHeight="1">
      <c r="A3591" s="8" t="s">
        <v>1681</v>
      </c>
      <c r="B3591" s="37" t="s">
        <v>2743</v>
      </c>
      <c r="C3591" s="34" t="s">
        <v>2608</v>
      </c>
      <c r="D3591" s="14" t="s">
        <v>1822</v>
      </c>
    </row>
    <row r="3592" spans="1:4" ht="19.5" customHeight="1">
      <c r="A3592" s="8"/>
      <c r="B3592" s="38" t="s">
        <v>2738</v>
      </c>
      <c r="C3592" s="34" t="s">
        <v>2608</v>
      </c>
      <c r="D3592" s="14" t="s">
        <v>1834</v>
      </c>
    </row>
    <row r="3593" spans="1:4" ht="19.5" customHeight="1">
      <c r="A3593" s="8"/>
      <c r="B3593" s="24" t="s">
        <v>420</v>
      </c>
      <c r="C3593" s="30" t="s">
        <v>2739</v>
      </c>
      <c r="D3593" s="14" t="s">
        <v>422</v>
      </c>
    </row>
    <row r="3594" spans="1:4" ht="19.5" customHeight="1">
      <c r="A3594" s="8"/>
      <c r="B3594" s="24" t="s">
        <v>420</v>
      </c>
      <c r="C3594" s="30" t="s">
        <v>2609</v>
      </c>
      <c r="D3594" s="14" t="s">
        <v>422</v>
      </c>
    </row>
    <row r="3595" spans="1:4" ht="19.5" customHeight="1">
      <c r="A3595" s="8"/>
      <c r="B3595" s="24" t="s">
        <v>420</v>
      </c>
      <c r="C3595" s="30" t="s">
        <v>2609</v>
      </c>
      <c r="D3595" s="14" t="s">
        <v>422</v>
      </c>
    </row>
    <row r="3596" spans="1:4" ht="19.5" customHeight="1">
      <c r="A3596" s="8"/>
      <c r="B3596" s="38" t="s">
        <v>2740</v>
      </c>
      <c r="C3596" s="34" t="s">
        <v>2608</v>
      </c>
      <c r="D3596" s="14" t="s">
        <v>2741</v>
      </c>
    </row>
    <row r="3597" spans="1:4" ht="19.5" customHeight="1">
      <c r="A3597" s="8"/>
      <c r="B3597" s="38" t="s">
        <v>2744</v>
      </c>
      <c r="C3597" s="36">
        <v>1</v>
      </c>
      <c r="D3597" s="14" t="s">
        <v>2293</v>
      </c>
    </row>
    <row r="3598" spans="1:4" ht="19.5" customHeight="1">
      <c r="A3598" s="8"/>
      <c r="B3598" s="38" t="s">
        <v>2754</v>
      </c>
      <c r="C3598" s="36">
        <v>1</v>
      </c>
      <c r="D3598" s="14" t="s">
        <v>1105</v>
      </c>
    </row>
    <row r="3599" spans="1:4" ht="19.5" customHeight="1">
      <c r="A3599" s="8" t="s">
        <v>1683</v>
      </c>
      <c r="B3599" s="37" t="s">
        <v>2737</v>
      </c>
      <c r="C3599" s="34" t="s">
        <v>2608</v>
      </c>
      <c r="D3599" s="14" t="s">
        <v>1826</v>
      </c>
    </row>
    <row r="3600" spans="1:4" ht="19.5" customHeight="1">
      <c r="A3600" s="8"/>
      <c r="B3600" s="38" t="s">
        <v>2738</v>
      </c>
      <c r="C3600" s="34" t="s">
        <v>2608</v>
      </c>
      <c r="D3600" s="14" t="s">
        <v>1834</v>
      </c>
    </row>
    <row r="3601" spans="1:4" ht="19.5" customHeight="1">
      <c r="A3601" s="8"/>
      <c r="B3601" s="24" t="s">
        <v>420</v>
      </c>
      <c r="C3601" s="30" t="s">
        <v>2609</v>
      </c>
      <c r="D3601" s="14" t="s">
        <v>422</v>
      </c>
    </row>
    <row r="3602" spans="1:4" ht="19.5" customHeight="1">
      <c r="A3602" s="8"/>
      <c r="B3602" s="24" t="s">
        <v>420</v>
      </c>
      <c r="C3602" s="30" t="s">
        <v>2739</v>
      </c>
      <c r="D3602" s="14" t="s">
        <v>422</v>
      </c>
    </row>
    <row r="3603" spans="1:4" ht="19.5" customHeight="1">
      <c r="A3603" s="8"/>
      <c r="B3603" s="24" t="s">
        <v>420</v>
      </c>
      <c r="C3603" s="30" t="s">
        <v>2609</v>
      </c>
      <c r="D3603" s="14" t="s">
        <v>422</v>
      </c>
    </row>
    <row r="3604" spans="1:4" ht="19.5" customHeight="1">
      <c r="A3604" s="8"/>
      <c r="B3604" s="24" t="s">
        <v>420</v>
      </c>
      <c r="C3604" s="30" t="s">
        <v>2609</v>
      </c>
      <c r="D3604" s="14" t="s">
        <v>422</v>
      </c>
    </row>
    <row r="3605" spans="1:4" ht="19.5" customHeight="1">
      <c r="A3605" s="8"/>
      <c r="B3605" s="38" t="s">
        <v>2740</v>
      </c>
      <c r="C3605" s="34" t="s">
        <v>2608</v>
      </c>
      <c r="D3605" s="14" t="s">
        <v>2741</v>
      </c>
    </row>
    <row r="3606" spans="1:4" ht="19.5" customHeight="1">
      <c r="A3606" s="8"/>
      <c r="B3606" s="38" t="s">
        <v>2694</v>
      </c>
      <c r="C3606" s="34" t="s">
        <v>2608</v>
      </c>
      <c r="D3606" s="14" t="s">
        <v>1846</v>
      </c>
    </row>
    <row r="3607" spans="1:4" ht="19.5" customHeight="1">
      <c r="A3607" s="8"/>
      <c r="B3607" s="38" t="s">
        <v>2744</v>
      </c>
      <c r="C3607" s="36">
        <v>1</v>
      </c>
      <c r="D3607" s="14" t="s">
        <v>2293</v>
      </c>
    </row>
    <row r="3608" spans="1:4" ht="19.5" customHeight="1">
      <c r="A3608" s="8"/>
      <c r="B3608" s="38" t="s">
        <v>2695</v>
      </c>
      <c r="C3608" s="36">
        <v>1</v>
      </c>
      <c r="D3608" s="14" t="s">
        <v>1111</v>
      </c>
    </row>
    <row r="3609" spans="1:4" ht="19.5" customHeight="1">
      <c r="A3609" s="8"/>
      <c r="B3609" s="38" t="s">
        <v>2754</v>
      </c>
      <c r="C3609" s="36">
        <v>1</v>
      </c>
      <c r="D3609" s="14" t="s">
        <v>1105</v>
      </c>
    </row>
    <row r="3610" spans="1:4" ht="19.5" customHeight="1">
      <c r="A3610" s="8" t="s">
        <v>1685</v>
      </c>
      <c r="B3610" s="37" t="s">
        <v>2743</v>
      </c>
      <c r="C3610" s="34" t="s">
        <v>2608</v>
      </c>
      <c r="D3610" s="14" t="s">
        <v>1822</v>
      </c>
    </row>
    <row r="3611" spans="1:4" ht="19.5" customHeight="1">
      <c r="A3611" s="8"/>
      <c r="B3611" s="38" t="s">
        <v>2738</v>
      </c>
      <c r="C3611" s="34" t="s">
        <v>2608</v>
      </c>
      <c r="D3611" s="14" t="s">
        <v>1834</v>
      </c>
    </row>
    <row r="3612" spans="1:4" ht="19.5" customHeight="1">
      <c r="A3612" s="8"/>
      <c r="B3612" s="24" t="s">
        <v>420</v>
      </c>
      <c r="C3612" s="30" t="s">
        <v>2609</v>
      </c>
      <c r="D3612" s="14" t="s">
        <v>422</v>
      </c>
    </row>
    <row r="3613" spans="1:4" ht="19.5" customHeight="1">
      <c r="A3613" s="8"/>
      <c r="B3613" s="24" t="s">
        <v>420</v>
      </c>
      <c r="C3613" s="30" t="s">
        <v>2739</v>
      </c>
      <c r="D3613" s="14" t="s">
        <v>422</v>
      </c>
    </row>
    <row r="3614" spans="1:4" ht="19.5" customHeight="1">
      <c r="A3614" s="8"/>
      <c r="B3614" s="24" t="s">
        <v>420</v>
      </c>
      <c r="C3614" s="30" t="s">
        <v>2609</v>
      </c>
      <c r="D3614" s="14" t="s">
        <v>422</v>
      </c>
    </row>
    <row r="3615" spans="1:4" ht="19.5" customHeight="1">
      <c r="A3615" s="8"/>
      <c r="B3615" s="24" t="s">
        <v>420</v>
      </c>
      <c r="C3615" s="30" t="s">
        <v>2609</v>
      </c>
      <c r="D3615" s="14" t="s">
        <v>422</v>
      </c>
    </row>
    <row r="3616" spans="1:4" ht="19.5" customHeight="1">
      <c r="A3616" s="8"/>
      <c r="B3616" s="38" t="s">
        <v>2740</v>
      </c>
      <c r="C3616" s="34" t="s">
        <v>2608</v>
      </c>
      <c r="D3616" s="14" t="s">
        <v>2741</v>
      </c>
    </row>
    <row r="3617" spans="1:4" ht="19.5" customHeight="1">
      <c r="A3617" s="8"/>
      <c r="B3617" s="38" t="s">
        <v>2694</v>
      </c>
      <c r="C3617" s="34" t="s">
        <v>2608</v>
      </c>
      <c r="D3617" s="14" t="s">
        <v>1846</v>
      </c>
    </row>
    <row r="3618" spans="1:4" ht="19.5" customHeight="1">
      <c r="A3618" s="8"/>
      <c r="B3618" s="38" t="s">
        <v>2744</v>
      </c>
      <c r="C3618" s="36">
        <v>1</v>
      </c>
      <c r="D3618" s="14" t="s">
        <v>2293</v>
      </c>
    </row>
    <row r="3619" spans="1:4" ht="19.5" customHeight="1">
      <c r="A3619" s="8"/>
      <c r="B3619" s="38" t="s">
        <v>2695</v>
      </c>
      <c r="C3619" s="36">
        <v>1</v>
      </c>
      <c r="D3619" s="14" t="s">
        <v>1111</v>
      </c>
    </row>
    <row r="3620" spans="1:4" ht="15" customHeight="1">
      <c r="A3620" s="8"/>
      <c r="B3620" s="38" t="s">
        <v>2754</v>
      </c>
      <c r="C3620" s="36">
        <v>1</v>
      </c>
      <c r="D3620" s="14" t="s">
        <v>1105</v>
      </c>
    </row>
    <row r="3621" spans="1:4" ht="15" customHeight="1">
      <c r="A3621" s="8" t="s">
        <v>1687</v>
      </c>
      <c r="B3621" s="37" t="s">
        <v>2737</v>
      </c>
      <c r="C3621" s="34" t="s">
        <v>2608</v>
      </c>
      <c r="D3621" s="14" t="s">
        <v>1826</v>
      </c>
    </row>
    <row r="3622" spans="1:4" ht="15" customHeight="1">
      <c r="A3622" s="8"/>
      <c r="B3622" s="38" t="s">
        <v>2738</v>
      </c>
      <c r="C3622" s="34" t="s">
        <v>2608</v>
      </c>
      <c r="D3622" s="14" t="s">
        <v>1834</v>
      </c>
    </row>
    <row r="3623" spans="1:4" ht="15" customHeight="1">
      <c r="A3623" s="8"/>
      <c r="B3623" s="24" t="s">
        <v>420</v>
      </c>
      <c r="C3623" s="30" t="s">
        <v>2739</v>
      </c>
      <c r="D3623" s="14" t="s">
        <v>422</v>
      </c>
    </row>
    <row r="3624" spans="1:4" ht="15" customHeight="1">
      <c r="A3624" s="8"/>
      <c r="B3624" s="24" t="s">
        <v>420</v>
      </c>
      <c r="C3624" s="30" t="s">
        <v>2609</v>
      </c>
      <c r="D3624" s="14" t="s">
        <v>422</v>
      </c>
    </row>
    <row r="3625" spans="1:4" ht="15" customHeight="1">
      <c r="A3625" s="8"/>
      <c r="B3625" s="24" t="s">
        <v>420</v>
      </c>
      <c r="C3625" s="30" t="s">
        <v>2609</v>
      </c>
      <c r="D3625" s="14" t="s">
        <v>422</v>
      </c>
    </row>
    <row r="3626" spans="1:4" ht="15" customHeight="1">
      <c r="A3626" s="8"/>
      <c r="B3626" s="24" t="s">
        <v>420</v>
      </c>
      <c r="C3626" s="30" t="s">
        <v>2609</v>
      </c>
      <c r="D3626" s="14" t="s">
        <v>422</v>
      </c>
    </row>
    <row r="3627" spans="1:4" ht="15" customHeight="1">
      <c r="A3627" s="8"/>
      <c r="B3627" s="38" t="s">
        <v>2740</v>
      </c>
      <c r="C3627" s="34" t="s">
        <v>2608</v>
      </c>
      <c r="D3627" s="14" t="s">
        <v>2741</v>
      </c>
    </row>
    <row r="3628" spans="1:4" ht="15" customHeight="1">
      <c r="A3628" s="8"/>
      <c r="B3628" s="38" t="s">
        <v>2685</v>
      </c>
      <c r="C3628" s="34" t="s">
        <v>2608</v>
      </c>
      <c r="D3628" s="14" t="s">
        <v>438</v>
      </c>
    </row>
    <row r="3629" spans="1:4" ht="15" customHeight="1">
      <c r="A3629" s="8"/>
      <c r="B3629" s="38" t="s">
        <v>2744</v>
      </c>
      <c r="C3629" s="36">
        <v>1</v>
      </c>
      <c r="D3629" s="14" t="s">
        <v>2293</v>
      </c>
    </row>
    <row r="3630" spans="1:4" ht="15" customHeight="1">
      <c r="A3630" s="8"/>
      <c r="B3630" s="38" t="s">
        <v>2686</v>
      </c>
      <c r="C3630" s="36">
        <v>1</v>
      </c>
      <c r="D3630" s="14" t="s">
        <v>2587</v>
      </c>
    </row>
    <row r="3631" spans="1:4" ht="15" customHeight="1">
      <c r="A3631" s="8"/>
      <c r="B3631" s="38" t="s">
        <v>2752</v>
      </c>
      <c r="C3631" s="36">
        <v>1</v>
      </c>
      <c r="D3631" s="14" t="s">
        <v>708</v>
      </c>
    </row>
    <row r="3632" spans="1:4" ht="19.5" customHeight="1">
      <c r="A3632" s="35"/>
      <c r="B3632" s="38"/>
      <c r="C3632" s="36"/>
      <c r="D3632" s="14"/>
    </row>
    <row r="3633" spans="1:4" ht="19.5" customHeight="1">
      <c r="A3633" s="35"/>
      <c r="B3633" s="38"/>
      <c r="C3633" s="36"/>
      <c r="D3633" s="14"/>
    </row>
    <row r="3634" spans="1:4" ht="19.5" customHeight="1">
      <c r="A3634" s="35"/>
      <c r="B3634" s="38"/>
      <c r="C3634" s="36"/>
      <c r="D3634" s="14"/>
    </row>
    <row r="3635" spans="1:4" ht="19.5" customHeight="1">
      <c r="A3635" s="8" t="s">
        <v>1689</v>
      </c>
      <c r="B3635" s="37" t="s">
        <v>2743</v>
      </c>
      <c r="C3635" s="34" t="s">
        <v>2608</v>
      </c>
      <c r="D3635" s="14" t="s">
        <v>1822</v>
      </c>
    </row>
    <row r="3636" spans="1:4" ht="19.5" customHeight="1">
      <c r="A3636" s="8"/>
      <c r="B3636" s="38" t="s">
        <v>2738</v>
      </c>
      <c r="C3636" s="34" t="s">
        <v>2608</v>
      </c>
      <c r="D3636" s="14" t="s">
        <v>1834</v>
      </c>
    </row>
    <row r="3637" spans="1:4" ht="19.5" customHeight="1">
      <c r="A3637" s="8"/>
      <c r="B3637" s="24" t="s">
        <v>420</v>
      </c>
      <c r="C3637" s="30" t="s">
        <v>2609</v>
      </c>
      <c r="D3637" s="14" t="s">
        <v>422</v>
      </c>
    </row>
    <row r="3638" spans="1:4" ht="15" customHeight="1">
      <c r="A3638" s="8"/>
      <c r="B3638" s="24" t="s">
        <v>420</v>
      </c>
      <c r="C3638" s="30" t="s">
        <v>2609</v>
      </c>
      <c r="D3638" s="14" t="s">
        <v>422</v>
      </c>
    </row>
    <row r="3639" spans="1:4" ht="15" customHeight="1">
      <c r="A3639" s="8"/>
      <c r="B3639" s="24" t="s">
        <v>420</v>
      </c>
      <c r="C3639" s="30" t="s">
        <v>2739</v>
      </c>
      <c r="D3639" s="14" t="s">
        <v>422</v>
      </c>
    </row>
    <row r="3640" spans="1:4" ht="15" customHeight="1">
      <c r="A3640" s="8"/>
      <c r="B3640" s="24" t="s">
        <v>420</v>
      </c>
      <c r="C3640" s="30" t="s">
        <v>2609</v>
      </c>
      <c r="D3640" s="14" t="s">
        <v>422</v>
      </c>
    </row>
    <row r="3641" spans="1:4" ht="15" customHeight="1">
      <c r="A3641" s="8"/>
      <c r="B3641" s="38" t="s">
        <v>2740</v>
      </c>
      <c r="C3641" s="34" t="s">
        <v>2608</v>
      </c>
      <c r="D3641" s="14" t="s">
        <v>2741</v>
      </c>
    </row>
    <row r="3642" spans="1:4" ht="15" customHeight="1">
      <c r="A3642" s="8"/>
      <c r="B3642" s="38" t="s">
        <v>2685</v>
      </c>
      <c r="C3642" s="34" t="s">
        <v>2608</v>
      </c>
      <c r="D3642" s="14" t="s">
        <v>438</v>
      </c>
    </row>
    <row r="3643" spans="1:4" ht="15" customHeight="1">
      <c r="A3643" s="8"/>
      <c r="B3643" s="38" t="s">
        <v>2744</v>
      </c>
      <c r="C3643" s="36">
        <v>1</v>
      </c>
      <c r="D3643" s="14" t="s">
        <v>2293</v>
      </c>
    </row>
    <row r="3644" spans="1:4" ht="15" customHeight="1">
      <c r="A3644" s="8"/>
      <c r="B3644" s="38" t="s">
        <v>2686</v>
      </c>
      <c r="C3644" s="36">
        <v>1</v>
      </c>
      <c r="D3644" s="14" t="s">
        <v>2587</v>
      </c>
    </row>
    <row r="3645" spans="1:4" ht="19.5" customHeight="1">
      <c r="A3645" s="8"/>
      <c r="B3645" s="38" t="s">
        <v>2752</v>
      </c>
      <c r="C3645" s="36">
        <v>1</v>
      </c>
      <c r="D3645" s="14" t="s">
        <v>708</v>
      </c>
    </row>
    <row r="3646" spans="1:4" ht="15" customHeight="1">
      <c r="A3646" s="8" t="s">
        <v>1691</v>
      </c>
      <c r="B3646" s="37" t="s">
        <v>2737</v>
      </c>
      <c r="C3646" s="34" t="s">
        <v>2608</v>
      </c>
      <c r="D3646" s="14" t="s">
        <v>1826</v>
      </c>
    </row>
    <row r="3647" spans="1:4" ht="15" customHeight="1">
      <c r="A3647" s="8"/>
      <c r="B3647" s="38" t="s">
        <v>2738</v>
      </c>
      <c r="C3647" s="34" t="s">
        <v>2608</v>
      </c>
      <c r="D3647" s="14" t="s">
        <v>1834</v>
      </c>
    </row>
    <row r="3648" spans="1:4" ht="19.5" customHeight="1">
      <c r="A3648" s="8"/>
      <c r="B3648" s="24" t="s">
        <v>420</v>
      </c>
      <c r="C3648" s="30" t="s">
        <v>2609</v>
      </c>
      <c r="D3648" s="14" t="s">
        <v>422</v>
      </c>
    </row>
    <row r="3649" spans="1:4" ht="15" customHeight="1">
      <c r="A3649" s="8"/>
      <c r="B3649" s="24" t="s">
        <v>420</v>
      </c>
      <c r="C3649" s="30" t="s">
        <v>2739</v>
      </c>
      <c r="D3649" s="14" t="s">
        <v>422</v>
      </c>
    </row>
    <row r="3650" spans="1:4" ht="15" customHeight="1">
      <c r="A3650" s="8"/>
      <c r="B3650" s="24" t="s">
        <v>420</v>
      </c>
      <c r="C3650" s="30" t="s">
        <v>2609</v>
      </c>
      <c r="D3650" s="14" t="s">
        <v>422</v>
      </c>
    </row>
    <row r="3651" spans="1:4" ht="15" customHeight="1">
      <c r="A3651" s="8"/>
      <c r="B3651" s="24" t="s">
        <v>420</v>
      </c>
      <c r="C3651" s="30" t="s">
        <v>2609</v>
      </c>
      <c r="D3651" s="14" t="s">
        <v>422</v>
      </c>
    </row>
    <row r="3652" spans="1:4" ht="19.5" customHeight="1">
      <c r="A3652" s="8"/>
      <c r="B3652" s="24" t="s">
        <v>420</v>
      </c>
      <c r="C3652" s="30" t="s">
        <v>2609</v>
      </c>
      <c r="D3652" s="14" t="s">
        <v>422</v>
      </c>
    </row>
    <row r="3653" spans="1:4" ht="19.5" customHeight="1">
      <c r="A3653" s="8"/>
      <c r="B3653" s="38" t="s">
        <v>2740</v>
      </c>
      <c r="C3653" s="34" t="s">
        <v>2608</v>
      </c>
      <c r="D3653" s="14" t="s">
        <v>2741</v>
      </c>
    </row>
    <row r="3654" spans="1:4" ht="16.5" customHeight="1">
      <c r="A3654" s="8"/>
      <c r="B3654" s="38" t="s">
        <v>2694</v>
      </c>
      <c r="C3654" s="34" t="s">
        <v>2608</v>
      </c>
      <c r="D3654" s="14" t="s">
        <v>1846</v>
      </c>
    </row>
    <row r="3655" spans="1:4" ht="19.5" customHeight="1">
      <c r="A3655" s="8"/>
      <c r="B3655" s="38" t="s">
        <v>2685</v>
      </c>
      <c r="C3655" s="34" t="s">
        <v>2608</v>
      </c>
      <c r="D3655" s="14" t="s">
        <v>438</v>
      </c>
    </row>
    <row r="3656" spans="1:4" ht="19.5" customHeight="1">
      <c r="A3656" s="8"/>
      <c r="B3656" s="38" t="s">
        <v>2686</v>
      </c>
      <c r="C3656" s="36">
        <v>1</v>
      </c>
      <c r="D3656" s="14" t="s">
        <v>2587</v>
      </c>
    </row>
    <row r="3657" spans="1:4" ht="19.5" customHeight="1">
      <c r="A3657" s="8"/>
      <c r="B3657" s="38" t="s">
        <v>2695</v>
      </c>
      <c r="C3657" s="36">
        <v>1</v>
      </c>
      <c r="D3657" s="14" t="s">
        <v>1111</v>
      </c>
    </row>
    <row r="3658" spans="1:4" ht="19.5" customHeight="1">
      <c r="A3658" s="8"/>
      <c r="B3658" s="38" t="s">
        <v>2744</v>
      </c>
      <c r="C3658" s="36">
        <v>1</v>
      </c>
      <c r="D3658" s="14" t="s">
        <v>2293</v>
      </c>
    </row>
    <row r="3659" spans="1:4" ht="19.5" customHeight="1">
      <c r="A3659" s="35"/>
      <c r="B3659" s="38"/>
      <c r="C3659" s="36"/>
      <c r="D3659" s="14"/>
    </row>
    <row r="3660" spans="1:4" ht="19.5" customHeight="1">
      <c r="A3660" s="35"/>
      <c r="B3660" s="38"/>
      <c r="C3660" s="36"/>
      <c r="D3660" s="14"/>
    </row>
    <row r="3661" spans="1:4" ht="19.5" customHeight="1">
      <c r="A3661" s="35"/>
      <c r="B3661" s="38"/>
      <c r="C3661" s="36"/>
      <c r="D3661" s="14"/>
    </row>
    <row r="3662" spans="1:4" ht="19.5" customHeight="1">
      <c r="A3662" s="8" t="s">
        <v>1693</v>
      </c>
      <c r="B3662" s="37" t="s">
        <v>2743</v>
      </c>
      <c r="C3662" s="34" t="s">
        <v>2608</v>
      </c>
      <c r="D3662" s="14" t="s">
        <v>1822</v>
      </c>
    </row>
    <row r="3663" spans="1:4" ht="19.5" customHeight="1">
      <c r="A3663" s="8"/>
      <c r="B3663" s="38" t="s">
        <v>2738</v>
      </c>
      <c r="C3663" s="34" t="s">
        <v>2608</v>
      </c>
      <c r="D3663" s="14" t="s">
        <v>1834</v>
      </c>
    </row>
    <row r="3664" spans="1:4" ht="19.5" customHeight="1">
      <c r="A3664" s="8"/>
      <c r="B3664" s="24" t="s">
        <v>420</v>
      </c>
      <c r="C3664" s="30" t="s">
        <v>2609</v>
      </c>
      <c r="D3664" s="14" t="s">
        <v>422</v>
      </c>
    </row>
    <row r="3665" spans="1:4" ht="19.5" customHeight="1">
      <c r="A3665" s="8"/>
      <c r="B3665" s="24" t="s">
        <v>420</v>
      </c>
      <c r="C3665" s="30" t="s">
        <v>2739</v>
      </c>
      <c r="D3665" s="14" t="s">
        <v>422</v>
      </c>
    </row>
    <row r="3666" spans="1:4" ht="19.5" customHeight="1">
      <c r="A3666" s="8"/>
      <c r="B3666" s="24" t="s">
        <v>420</v>
      </c>
      <c r="C3666" s="30" t="s">
        <v>2609</v>
      </c>
      <c r="D3666" s="14" t="s">
        <v>422</v>
      </c>
    </row>
    <row r="3667" spans="1:4" ht="19.5" customHeight="1">
      <c r="A3667" s="8"/>
      <c r="B3667" s="24" t="s">
        <v>420</v>
      </c>
      <c r="C3667" s="30" t="s">
        <v>2609</v>
      </c>
      <c r="D3667" s="14" t="s">
        <v>422</v>
      </c>
    </row>
    <row r="3668" spans="1:4" ht="19.5" customHeight="1">
      <c r="A3668" s="8"/>
      <c r="B3668" s="24" t="s">
        <v>420</v>
      </c>
      <c r="C3668" s="30" t="s">
        <v>2609</v>
      </c>
      <c r="D3668" s="14" t="s">
        <v>422</v>
      </c>
    </row>
    <row r="3669" spans="1:4" ht="19.5" customHeight="1">
      <c r="A3669" s="8"/>
      <c r="B3669" s="38" t="s">
        <v>2740</v>
      </c>
      <c r="C3669" s="34" t="s">
        <v>2608</v>
      </c>
      <c r="D3669" s="14" t="s">
        <v>2741</v>
      </c>
    </row>
    <row r="3670" spans="1:4" ht="15" customHeight="1">
      <c r="A3670" s="8"/>
      <c r="B3670" s="38" t="s">
        <v>2694</v>
      </c>
      <c r="C3670" s="34" t="s">
        <v>2608</v>
      </c>
      <c r="D3670" s="14" t="s">
        <v>1846</v>
      </c>
    </row>
    <row r="3671" spans="1:4" ht="15" customHeight="1">
      <c r="A3671" s="8"/>
      <c r="B3671" s="38" t="s">
        <v>2685</v>
      </c>
      <c r="C3671" s="34" t="s">
        <v>2608</v>
      </c>
      <c r="D3671" s="14" t="s">
        <v>438</v>
      </c>
    </row>
    <row r="3672" spans="1:4" ht="15" customHeight="1">
      <c r="A3672" s="8"/>
      <c r="B3672" s="38" t="s">
        <v>2686</v>
      </c>
      <c r="C3672" s="36">
        <v>1</v>
      </c>
      <c r="D3672" s="14" t="s">
        <v>2587</v>
      </c>
    </row>
    <row r="3673" spans="1:4" ht="15" customHeight="1">
      <c r="A3673" s="8"/>
      <c r="B3673" s="38" t="s">
        <v>2695</v>
      </c>
      <c r="C3673" s="36">
        <v>1</v>
      </c>
      <c r="D3673" s="14" t="s">
        <v>1111</v>
      </c>
    </row>
    <row r="3674" spans="1:4" ht="15" customHeight="1">
      <c r="A3674" s="8"/>
      <c r="B3674" s="38" t="s">
        <v>2744</v>
      </c>
      <c r="C3674" s="36">
        <v>1</v>
      </c>
      <c r="D3674" s="14" t="s">
        <v>2293</v>
      </c>
    </row>
    <row r="3675" spans="1:4" ht="19.5" customHeight="1">
      <c r="A3675" s="8" t="s">
        <v>1695</v>
      </c>
      <c r="B3675" s="37" t="s">
        <v>2755</v>
      </c>
      <c r="C3675" s="34" t="s">
        <v>2608</v>
      </c>
      <c r="D3675" s="14" t="s">
        <v>1822</v>
      </c>
    </row>
    <row r="3676" spans="1:4" ht="19.5" customHeight="1">
      <c r="A3676" s="8"/>
      <c r="B3676" s="38" t="s">
        <v>2738</v>
      </c>
      <c r="C3676" s="34" t="s">
        <v>2608</v>
      </c>
      <c r="D3676" s="14" t="s">
        <v>1834</v>
      </c>
    </row>
    <row r="3677" spans="1:4" ht="19.5" customHeight="1">
      <c r="A3677" s="8"/>
      <c r="B3677" s="24" t="s">
        <v>420</v>
      </c>
      <c r="C3677" s="30" t="s">
        <v>2609</v>
      </c>
      <c r="D3677" s="14" t="s">
        <v>422</v>
      </c>
    </row>
    <row r="3678" spans="1:4" ht="19.5" customHeight="1">
      <c r="A3678" s="8"/>
      <c r="B3678" s="24" t="s">
        <v>420</v>
      </c>
      <c r="C3678" s="30" t="s">
        <v>2739</v>
      </c>
      <c r="D3678" s="14" t="s">
        <v>422</v>
      </c>
    </row>
    <row r="3679" spans="1:4" ht="19.5" customHeight="1">
      <c r="A3679" s="8"/>
      <c r="B3679" s="24" t="s">
        <v>420</v>
      </c>
      <c r="C3679" s="30" t="s">
        <v>2609</v>
      </c>
      <c r="D3679" s="14" t="s">
        <v>422</v>
      </c>
    </row>
    <row r="3680" spans="1:4" ht="19.5" customHeight="1">
      <c r="A3680" s="8"/>
      <c r="B3680" s="24" t="s">
        <v>420</v>
      </c>
      <c r="C3680" s="30" t="s">
        <v>2609</v>
      </c>
      <c r="D3680" s="14" t="s">
        <v>422</v>
      </c>
    </row>
    <row r="3681" spans="1:4" ht="19.5" customHeight="1">
      <c r="A3681" s="8"/>
      <c r="B3681" s="38" t="s">
        <v>2740</v>
      </c>
      <c r="C3681" s="34" t="s">
        <v>2608</v>
      </c>
      <c r="D3681" s="14" t="s">
        <v>2741</v>
      </c>
    </row>
    <row r="3682" spans="1:4" ht="19.5" customHeight="1">
      <c r="A3682" s="8"/>
      <c r="B3682" s="38" t="s">
        <v>2694</v>
      </c>
      <c r="C3682" s="34" t="s">
        <v>2608</v>
      </c>
      <c r="D3682" s="14" t="s">
        <v>1846</v>
      </c>
    </row>
    <row r="3683" spans="1:4" ht="19.5" customHeight="1">
      <c r="A3683" s="8"/>
      <c r="B3683" s="38" t="s">
        <v>2756</v>
      </c>
      <c r="C3683" s="34" t="s">
        <v>2608</v>
      </c>
      <c r="D3683" s="14" t="s">
        <v>1862</v>
      </c>
    </row>
    <row r="3684" spans="1:4" ht="19.5" customHeight="1">
      <c r="A3684" s="8"/>
      <c r="B3684" s="38" t="s">
        <v>2711</v>
      </c>
      <c r="C3684" s="36">
        <v>4</v>
      </c>
      <c r="D3684" s="14" t="s">
        <v>2377</v>
      </c>
    </row>
    <row r="3685" spans="1:4" ht="19.5" customHeight="1">
      <c r="A3685" s="8"/>
      <c r="B3685" s="38" t="s">
        <v>2695</v>
      </c>
      <c r="C3685" s="36">
        <v>1</v>
      </c>
      <c r="D3685" s="14" t="s">
        <v>1111</v>
      </c>
    </row>
    <row r="3686" spans="1:4" ht="19.5" customHeight="1">
      <c r="A3686" s="8"/>
      <c r="B3686" s="38" t="s">
        <v>2706</v>
      </c>
      <c r="C3686" s="36">
        <v>1</v>
      </c>
      <c r="D3686" s="14" t="s">
        <v>2342</v>
      </c>
    </row>
    <row r="3687" spans="1:4" ht="19.5" customHeight="1">
      <c r="A3687" s="8"/>
      <c r="B3687" s="38" t="s">
        <v>2707</v>
      </c>
      <c r="C3687" s="36">
        <v>1</v>
      </c>
      <c r="D3687" s="14" t="s">
        <v>1086</v>
      </c>
    </row>
    <row r="3688" spans="1:4" ht="19.5" customHeight="1">
      <c r="A3688" s="8"/>
      <c r="B3688" s="38" t="s">
        <v>2708</v>
      </c>
      <c r="C3688" s="36">
        <v>1</v>
      </c>
      <c r="D3688" s="14" t="s">
        <v>1101</v>
      </c>
    </row>
    <row r="3689" spans="1:4" ht="19.5" customHeight="1">
      <c r="A3689" s="8" t="s">
        <v>1520</v>
      </c>
      <c r="B3689" s="37" t="s">
        <v>2755</v>
      </c>
      <c r="C3689" s="34" t="s">
        <v>2608</v>
      </c>
      <c r="D3689" s="14" t="s">
        <v>1822</v>
      </c>
    </row>
    <row r="3690" spans="1:4" ht="19.5" customHeight="1">
      <c r="A3690" s="8"/>
      <c r="B3690" s="38" t="s">
        <v>2746</v>
      </c>
      <c r="C3690" s="34" t="s">
        <v>2608</v>
      </c>
      <c r="D3690" s="14" t="s">
        <v>1842</v>
      </c>
    </row>
    <row r="3691" spans="1:4" ht="19.5" customHeight="1">
      <c r="A3691" s="8"/>
      <c r="B3691" s="24" t="s">
        <v>420</v>
      </c>
      <c r="C3691" s="30" t="s">
        <v>2609</v>
      </c>
      <c r="D3691" s="14" t="s">
        <v>422</v>
      </c>
    </row>
    <row r="3692" spans="1:4" ht="19.5" customHeight="1">
      <c r="A3692" s="8"/>
      <c r="B3692" s="24" t="s">
        <v>420</v>
      </c>
      <c r="C3692" s="30" t="s">
        <v>2739</v>
      </c>
      <c r="D3692" s="14" t="s">
        <v>422</v>
      </c>
    </row>
    <row r="3693" spans="1:4" ht="19.5" customHeight="1">
      <c r="A3693" s="8"/>
      <c r="B3693" s="24" t="s">
        <v>420</v>
      </c>
      <c r="C3693" s="30" t="s">
        <v>2609</v>
      </c>
      <c r="D3693" s="14" t="s">
        <v>422</v>
      </c>
    </row>
    <row r="3694" spans="1:4" ht="19.5" customHeight="1">
      <c r="A3694" s="8"/>
      <c r="B3694" s="24" t="s">
        <v>420</v>
      </c>
      <c r="C3694" s="30" t="s">
        <v>2609</v>
      </c>
      <c r="D3694" s="14" t="s">
        <v>422</v>
      </c>
    </row>
    <row r="3695" spans="1:4" ht="19.5" customHeight="1">
      <c r="A3695" s="8"/>
      <c r="B3695" s="38" t="s">
        <v>2756</v>
      </c>
      <c r="C3695" s="34" t="s">
        <v>2608</v>
      </c>
      <c r="D3695" s="14" t="s">
        <v>1862</v>
      </c>
    </row>
    <row r="3696" spans="1:4" ht="19.5" customHeight="1">
      <c r="A3696" s="8"/>
      <c r="B3696" s="38" t="s">
        <v>2740</v>
      </c>
      <c r="C3696" s="34" t="s">
        <v>2608</v>
      </c>
      <c r="D3696" s="14" t="s">
        <v>2741</v>
      </c>
    </row>
    <row r="3697" spans="1:4" ht="19.5" customHeight="1">
      <c r="A3697" s="8"/>
      <c r="B3697" s="38" t="s">
        <v>2694</v>
      </c>
      <c r="C3697" s="34" t="s">
        <v>2608</v>
      </c>
      <c r="D3697" s="14" t="s">
        <v>1846</v>
      </c>
    </row>
    <row r="3698" spans="1:4" ht="19.5" customHeight="1">
      <c r="A3698" s="8"/>
      <c r="B3698" s="38" t="s">
        <v>2711</v>
      </c>
      <c r="C3698" s="36">
        <v>4</v>
      </c>
      <c r="D3698" s="14" t="s">
        <v>2377</v>
      </c>
    </row>
    <row r="3699" spans="1:4" ht="19.5" customHeight="1">
      <c r="A3699" s="8"/>
      <c r="B3699" s="38" t="s">
        <v>2695</v>
      </c>
      <c r="C3699" s="36">
        <v>1</v>
      </c>
      <c r="D3699" s="14" t="s">
        <v>1111</v>
      </c>
    </row>
    <row r="3700" spans="1:4" ht="19.5" customHeight="1">
      <c r="A3700" s="8"/>
      <c r="B3700" s="38" t="s">
        <v>2706</v>
      </c>
      <c r="C3700" s="36">
        <v>1</v>
      </c>
      <c r="D3700" s="14" t="s">
        <v>2342</v>
      </c>
    </row>
    <row r="3701" spans="1:4" ht="19.5" customHeight="1">
      <c r="A3701" s="8"/>
      <c r="B3701" s="38" t="s">
        <v>2707</v>
      </c>
      <c r="C3701" s="36">
        <v>1</v>
      </c>
      <c r="D3701" s="14" t="s">
        <v>1086</v>
      </c>
    </row>
    <row r="3702" spans="1:4" ht="19.5" customHeight="1">
      <c r="A3702" s="8"/>
      <c r="B3702" s="38" t="s">
        <v>2708</v>
      </c>
      <c r="C3702" s="36">
        <v>1</v>
      </c>
      <c r="D3702" s="14" t="s">
        <v>1101</v>
      </c>
    </row>
    <row r="3703" spans="1:4" ht="19.5" customHeight="1">
      <c r="A3703" s="8" t="s">
        <v>1522</v>
      </c>
      <c r="B3703" s="37" t="s">
        <v>2757</v>
      </c>
      <c r="C3703" s="34" t="s">
        <v>2608</v>
      </c>
      <c r="D3703" s="14" t="s">
        <v>1822</v>
      </c>
    </row>
    <row r="3704" spans="1:4" ht="19.5" customHeight="1">
      <c r="A3704" s="8"/>
      <c r="B3704" s="38" t="s">
        <v>2738</v>
      </c>
      <c r="C3704" s="34" t="s">
        <v>2608</v>
      </c>
      <c r="D3704" s="14" t="s">
        <v>1834</v>
      </c>
    </row>
    <row r="3705" spans="1:4" ht="15" customHeight="1">
      <c r="A3705" s="8"/>
      <c r="B3705" s="24" t="s">
        <v>420</v>
      </c>
      <c r="C3705" s="30" t="s">
        <v>2609</v>
      </c>
      <c r="D3705" s="14" t="s">
        <v>422</v>
      </c>
    </row>
    <row r="3706" spans="1:4" ht="15" customHeight="1">
      <c r="A3706" s="8"/>
      <c r="B3706" s="24" t="s">
        <v>420</v>
      </c>
      <c r="C3706" s="30" t="s">
        <v>2609</v>
      </c>
      <c r="D3706" s="14" t="s">
        <v>422</v>
      </c>
    </row>
    <row r="3707" spans="1:4" ht="15" customHeight="1">
      <c r="A3707" s="8"/>
      <c r="B3707" s="24" t="s">
        <v>420</v>
      </c>
      <c r="C3707" s="30" t="s">
        <v>2739</v>
      </c>
      <c r="D3707" s="14" t="s">
        <v>422</v>
      </c>
    </row>
    <row r="3708" spans="1:4" ht="15" customHeight="1">
      <c r="A3708" s="8"/>
      <c r="B3708" s="24" t="s">
        <v>420</v>
      </c>
      <c r="C3708" s="30" t="s">
        <v>2609</v>
      </c>
      <c r="D3708" s="14" t="s">
        <v>422</v>
      </c>
    </row>
    <row r="3709" spans="1:4" ht="15" customHeight="1">
      <c r="A3709" s="8"/>
      <c r="B3709" s="38" t="s">
        <v>2740</v>
      </c>
      <c r="C3709" s="34" t="s">
        <v>2608</v>
      </c>
      <c r="D3709" s="14" t="s">
        <v>2741</v>
      </c>
    </row>
    <row r="3710" spans="1:4" ht="15" customHeight="1">
      <c r="A3710" s="8"/>
      <c r="B3710" s="38" t="s">
        <v>2694</v>
      </c>
      <c r="C3710" s="34" t="s">
        <v>2608</v>
      </c>
      <c r="D3710" s="14" t="s">
        <v>1846</v>
      </c>
    </row>
    <row r="3711" spans="1:4" ht="15" customHeight="1">
      <c r="A3711" s="8"/>
      <c r="B3711" s="38" t="s">
        <v>2711</v>
      </c>
      <c r="C3711" s="36">
        <v>4</v>
      </c>
      <c r="D3711" s="14" t="s">
        <v>2377</v>
      </c>
    </row>
    <row r="3712" spans="1:4" ht="15" customHeight="1">
      <c r="A3712" s="8"/>
      <c r="B3712" s="38" t="s">
        <v>2695</v>
      </c>
      <c r="C3712" s="36">
        <v>1</v>
      </c>
      <c r="D3712" s="14" t="s">
        <v>1111</v>
      </c>
    </row>
    <row r="3713" spans="1:4" ht="15" customHeight="1">
      <c r="A3713" s="8"/>
      <c r="B3713" s="38" t="s">
        <v>2706</v>
      </c>
      <c r="C3713" s="36">
        <v>1</v>
      </c>
      <c r="D3713" s="14" t="s">
        <v>2342</v>
      </c>
    </row>
    <row r="3714" spans="1:4" ht="15" customHeight="1">
      <c r="A3714" s="8"/>
      <c r="B3714" s="38" t="s">
        <v>2707</v>
      </c>
      <c r="C3714" s="36">
        <v>1</v>
      </c>
      <c r="D3714" s="14" t="s">
        <v>1086</v>
      </c>
    </row>
    <row r="3715" spans="1:4" ht="15" customHeight="1">
      <c r="A3715" s="8"/>
      <c r="B3715" s="38" t="s">
        <v>2708</v>
      </c>
      <c r="C3715" s="36">
        <v>1</v>
      </c>
      <c r="D3715" s="14" t="s">
        <v>1101</v>
      </c>
    </row>
    <row r="3716" spans="1:4" ht="19.5" customHeight="1">
      <c r="A3716" s="35"/>
      <c r="B3716" s="38"/>
      <c r="C3716" s="36"/>
      <c r="D3716" s="14"/>
    </row>
    <row r="3717" spans="1:4" ht="19.5" customHeight="1">
      <c r="A3717" s="35"/>
      <c r="B3717" s="38"/>
      <c r="C3717" s="36"/>
      <c r="D3717" s="14"/>
    </row>
    <row r="3718" spans="1:4" ht="19.5" customHeight="1">
      <c r="A3718" s="35"/>
      <c r="B3718" s="38"/>
      <c r="C3718" s="36"/>
      <c r="D3718" s="14"/>
    </row>
    <row r="3719" spans="1:4" ht="19.5" customHeight="1">
      <c r="A3719" s="8" t="s">
        <v>1524</v>
      </c>
      <c r="B3719" s="37" t="s">
        <v>2757</v>
      </c>
      <c r="C3719" s="34" t="s">
        <v>2608</v>
      </c>
      <c r="D3719" s="14" t="s">
        <v>1822</v>
      </c>
    </row>
    <row r="3720" spans="1:4" ht="19.5" customHeight="1">
      <c r="A3720" s="8"/>
      <c r="B3720" s="38" t="s">
        <v>2746</v>
      </c>
      <c r="C3720" s="34" t="s">
        <v>2608</v>
      </c>
      <c r="D3720" s="14" t="s">
        <v>1842</v>
      </c>
    </row>
    <row r="3721" spans="1:4" ht="19.5" customHeight="1">
      <c r="A3721" s="8"/>
      <c r="B3721" s="24" t="s">
        <v>420</v>
      </c>
      <c r="C3721" s="30" t="s">
        <v>2609</v>
      </c>
      <c r="D3721" s="14" t="s">
        <v>422</v>
      </c>
    </row>
    <row r="3722" spans="1:4" ht="19.5" customHeight="1">
      <c r="A3722" s="8"/>
      <c r="B3722" s="24" t="s">
        <v>420</v>
      </c>
      <c r="C3722" s="30" t="s">
        <v>2739</v>
      </c>
      <c r="D3722" s="14" t="s">
        <v>422</v>
      </c>
    </row>
    <row r="3723" spans="1:4" ht="19.5" customHeight="1">
      <c r="A3723" s="8"/>
      <c r="B3723" s="24" t="s">
        <v>420</v>
      </c>
      <c r="C3723" s="30" t="s">
        <v>2609</v>
      </c>
      <c r="D3723" s="14" t="s">
        <v>422</v>
      </c>
    </row>
    <row r="3724" spans="1:4" ht="19.5" customHeight="1">
      <c r="A3724" s="8"/>
      <c r="B3724" s="24" t="s">
        <v>420</v>
      </c>
      <c r="C3724" s="30" t="s">
        <v>2609</v>
      </c>
      <c r="D3724" s="14" t="s">
        <v>422</v>
      </c>
    </row>
    <row r="3725" spans="1:4" ht="19.5" customHeight="1">
      <c r="A3725" s="8"/>
      <c r="B3725" s="38" t="s">
        <v>2740</v>
      </c>
      <c r="C3725" s="34" t="s">
        <v>2608</v>
      </c>
      <c r="D3725" s="14" t="s">
        <v>2741</v>
      </c>
    </row>
    <row r="3726" spans="1:4" ht="19.5" customHeight="1">
      <c r="A3726" s="8"/>
      <c r="B3726" s="38" t="s">
        <v>2694</v>
      </c>
      <c r="C3726" s="34" t="s">
        <v>2608</v>
      </c>
      <c r="D3726" s="14" t="s">
        <v>1846</v>
      </c>
    </row>
    <row r="3727" spans="1:4" ht="19.5" customHeight="1">
      <c r="A3727" s="8"/>
      <c r="B3727" s="38" t="s">
        <v>2711</v>
      </c>
      <c r="C3727" s="36">
        <v>4</v>
      </c>
      <c r="D3727" s="14" t="s">
        <v>2377</v>
      </c>
    </row>
    <row r="3728" spans="1:4" ht="19.5" customHeight="1">
      <c r="A3728" s="8"/>
      <c r="B3728" s="38" t="s">
        <v>2695</v>
      </c>
      <c r="C3728" s="36">
        <v>1</v>
      </c>
      <c r="D3728" s="14" t="s">
        <v>1111</v>
      </c>
    </row>
    <row r="3729" spans="1:4" ht="19.5" customHeight="1">
      <c r="A3729" s="8"/>
      <c r="B3729" s="38" t="s">
        <v>2706</v>
      </c>
      <c r="C3729" s="36">
        <v>1</v>
      </c>
      <c r="D3729" s="14" t="s">
        <v>2342</v>
      </c>
    </row>
    <row r="3730" spans="1:4" ht="19.5" customHeight="1">
      <c r="A3730" s="8"/>
      <c r="B3730" s="38" t="s">
        <v>2707</v>
      </c>
      <c r="C3730" s="36">
        <v>1</v>
      </c>
      <c r="D3730" s="14" t="s">
        <v>1086</v>
      </c>
    </row>
    <row r="3731" spans="1:4" ht="19.5" customHeight="1">
      <c r="A3731" s="8"/>
      <c r="B3731" s="38" t="s">
        <v>2708</v>
      </c>
      <c r="C3731" s="36">
        <v>1</v>
      </c>
      <c r="D3731" s="14" t="s">
        <v>1101</v>
      </c>
    </row>
    <row r="3732" spans="1:4" ht="19.5" customHeight="1">
      <c r="A3732" s="8" t="s">
        <v>1526</v>
      </c>
      <c r="B3732" s="37" t="s">
        <v>2757</v>
      </c>
      <c r="C3732" s="34" t="s">
        <v>2608</v>
      </c>
      <c r="D3732" s="14" t="s">
        <v>1822</v>
      </c>
    </row>
    <row r="3733" spans="1:4" ht="19.5" customHeight="1">
      <c r="A3733" s="8"/>
      <c r="B3733" s="38" t="s">
        <v>2738</v>
      </c>
      <c r="C3733" s="34" t="s">
        <v>2608</v>
      </c>
      <c r="D3733" s="14" t="s">
        <v>1834</v>
      </c>
    </row>
    <row r="3734" spans="1:4" ht="19.5" customHeight="1">
      <c r="A3734" s="8"/>
      <c r="B3734" s="24" t="s">
        <v>420</v>
      </c>
      <c r="C3734" s="30" t="s">
        <v>2739</v>
      </c>
      <c r="D3734" s="14" t="s">
        <v>422</v>
      </c>
    </row>
    <row r="3735" spans="1:4" ht="19.5" customHeight="1">
      <c r="A3735" s="8"/>
      <c r="B3735" s="24" t="s">
        <v>420</v>
      </c>
      <c r="C3735" s="30" t="s">
        <v>2609</v>
      </c>
      <c r="D3735" s="14" t="s">
        <v>422</v>
      </c>
    </row>
    <row r="3736" spans="1:4" ht="19.5" customHeight="1">
      <c r="A3736" s="8"/>
      <c r="B3736" s="24" t="s">
        <v>420</v>
      </c>
      <c r="C3736" s="30" t="s">
        <v>2609</v>
      </c>
      <c r="D3736" s="14" t="s">
        <v>422</v>
      </c>
    </row>
    <row r="3737" spans="1:4" ht="19.5" customHeight="1">
      <c r="A3737" s="8"/>
      <c r="B3737" s="38" t="s">
        <v>2758</v>
      </c>
      <c r="C3737" s="34" t="s">
        <v>2608</v>
      </c>
      <c r="D3737" s="14" t="s">
        <v>442</v>
      </c>
    </row>
    <row r="3738" spans="1:4" ht="19.5" customHeight="1">
      <c r="A3738" s="8"/>
      <c r="B3738" s="38" t="s">
        <v>2711</v>
      </c>
      <c r="C3738" s="36">
        <v>4</v>
      </c>
      <c r="D3738" s="14" t="s">
        <v>2377</v>
      </c>
    </row>
    <row r="3739" spans="1:4" ht="19.5" customHeight="1">
      <c r="A3739" s="8"/>
      <c r="B3739" s="38" t="s">
        <v>2706</v>
      </c>
      <c r="C3739" s="36">
        <v>1</v>
      </c>
      <c r="D3739" s="14" t="s">
        <v>2342</v>
      </c>
    </row>
    <row r="3740" spans="1:4" ht="19.5" customHeight="1">
      <c r="A3740" s="8"/>
      <c r="B3740" s="38" t="s">
        <v>2707</v>
      </c>
      <c r="C3740" s="36">
        <v>1</v>
      </c>
      <c r="D3740" s="14" t="s">
        <v>1086</v>
      </c>
    </row>
    <row r="3741" spans="1:4" ht="19.5" customHeight="1">
      <c r="A3741" s="8"/>
      <c r="B3741" s="38" t="s">
        <v>2708</v>
      </c>
      <c r="C3741" s="36">
        <v>1</v>
      </c>
      <c r="D3741" s="14" t="s">
        <v>1101</v>
      </c>
    </row>
    <row r="3742" spans="1:4" ht="19.5" customHeight="1">
      <c r="A3742" s="35"/>
      <c r="B3742" s="38"/>
      <c r="C3742" s="36"/>
      <c r="D3742" s="14"/>
    </row>
    <row r="3743" spans="1:4" ht="19.5" customHeight="1">
      <c r="A3743" s="35"/>
      <c r="B3743" s="38"/>
      <c r="C3743" s="36"/>
      <c r="D3743" s="14"/>
    </row>
    <row r="3744" spans="1:4" ht="19.5" customHeight="1">
      <c r="A3744" s="35"/>
      <c r="B3744" s="38"/>
      <c r="C3744" s="36"/>
      <c r="D3744" s="14"/>
    </row>
    <row r="3745" spans="1:4" ht="19.5" customHeight="1">
      <c r="A3745" s="8" t="s">
        <v>1526</v>
      </c>
      <c r="B3745" s="37" t="s">
        <v>2757</v>
      </c>
      <c r="C3745" s="34" t="s">
        <v>2608</v>
      </c>
      <c r="D3745" s="14" t="s">
        <v>1822</v>
      </c>
    </row>
    <row r="3746" spans="1:4" ht="19.5" customHeight="1">
      <c r="A3746" s="8"/>
      <c r="B3746" s="38" t="s">
        <v>2738</v>
      </c>
      <c r="C3746" s="34" t="s">
        <v>2608</v>
      </c>
      <c r="D3746" s="14" t="s">
        <v>1834</v>
      </c>
    </row>
    <row r="3747" spans="1:4" ht="19.5" customHeight="1">
      <c r="A3747" s="8"/>
      <c r="B3747" s="24" t="s">
        <v>420</v>
      </c>
      <c r="C3747" s="30" t="s">
        <v>2739</v>
      </c>
      <c r="D3747" s="14" t="s">
        <v>422</v>
      </c>
    </row>
    <row r="3748" spans="1:4" ht="19.5" customHeight="1">
      <c r="A3748" s="8"/>
      <c r="B3748" s="24" t="s">
        <v>420</v>
      </c>
      <c r="C3748" s="30" t="s">
        <v>2609</v>
      </c>
      <c r="D3748" s="14" t="s">
        <v>422</v>
      </c>
    </row>
    <row r="3749" spans="1:4" ht="16.5" customHeight="1">
      <c r="A3749" s="8"/>
      <c r="B3749" s="24" t="s">
        <v>420</v>
      </c>
      <c r="C3749" s="30" t="s">
        <v>2609</v>
      </c>
      <c r="D3749" s="14" t="s">
        <v>422</v>
      </c>
    </row>
    <row r="3750" spans="1:4" ht="16.5" customHeight="1">
      <c r="A3750" s="8"/>
      <c r="B3750" s="38" t="s">
        <v>2758</v>
      </c>
      <c r="C3750" s="34" t="s">
        <v>2608</v>
      </c>
      <c r="D3750" s="14" t="s">
        <v>442</v>
      </c>
    </row>
    <row r="3751" spans="1:4" ht="19.5" customHeight="1">
      <c r="A3751" s="8"/>
      <c r="B3751" s="38" t="s">
        <v>2711</v>
      </c>
      <c r="C3751" s="36">
        <v>4</v>
      </c>
      <c r="D3751" s="14" t="s">
        <v>2377</v>
      </c>
    </row>
    <row r="3752" spans="1:4" ht="19.5" customHeight="1">
      <c r="A3752" s="8"/>
      <c r="B3752" s="38" t="s">
        <v>2706</v>
      </c>
      <c r="C3752" s="36">
        <v>1</v>
      </c>
      <c r="D3752" s="14" t="s">
        <v>2342</v>
      </c>
    </row>
    <row r="3753" spans="1:4" ht="19.5" customHeight="1">
      <c r="A3753" s="8"/>
      <c r="B3753" s="38" t="s">
        <v>2707</v>
      </c>
      <c r="C3753" s="36">
        <v>1</v>
      </c>
      <c r="D3753" s="14" t="s">
        <v>1086</v>
      </c>
    </row>
    <row r="3754" spans="1:4" ht="19.5" customHeight="1">
      <c r="A3754" s="8"/>
      <c r="B3754" s="38" t="s">
        <v>2708</v>
      </c>
      <c r="C3754" s="36">
        <v>1</v>
      </c>
      <c r="D3754" s="14" t="s">
        <v>1101</v>
      </c>
    </row>
    <row r="3755" spans="1:4" ht="19.5" customHeight="1">
      <c r="A3755" s="8" t="s">
        <v>1530</v>
      </c>
      <c r="B3755" s="37" t="s">
        <v>2757</v>
      </c>
      <c r="C3755" s="34" t="s">
        <v>2608</v>
      </c>
      <c r="D3755" s="14" t="s">
        <v>1822</v>
      </c>
    </row>
    <row r="3756" spans="1:4" ht="19.5" customHeight="1">
      <c r="A3756" s="8"/>
      <c r="B3756" s="38" t="s">
        <v>2738</v>
      </c>
      <c r="C3756" s="34" t="s">
        <v>2608</v>
      </c>
      <c r="D3756" s="14" t="s">
        <v>1834</v>
      </c>
    </row>
    <row r="3757" spans="1:4" ht="19.5" customHeight="1">
      <c r="A3757" s="8"/>
      <c r="B3757" s="38" t="s">
        <v>420</v>
      </c>
      <c r="C3757" s="30" t="s">
        <v>2670</v>
      </c>
      <c r="D3757" s="14" t="s">
        <v>422</v>
      </c>
    </row>
    <row r="3758" spans="1:4" ht="19.5" customHeight="1">
      <c r="A3758" s="8"/>
      <c r="B3758" s="24" t="s">
        <v>420</v>
      </c>
      <c r="C3758" s="30" t="s">
        <v>2609</v>
      </c>
      <c r="D3758" s="14" t="s">
        <v>422</v>
      </c>
    </row>
    <row r="3759" spans="1:4" ht="19.5" customHeight="1">
      <c r="A3759" s="8"/>
      <c r="B3759" s="24" t="s">
        <v>420</v>
      </c>
      <c r="C3759" s="30" t="s">
        <v>2609</v>
      </c>
      <c r="D3759" s="14" t="s">
        <v>422</v>
      </c>
    </row>
    <row r="3760" spans="1:4" ht="19.5" customHeight="1">
      <c r="A3760" s="8"/>
      <c r="B3760" s="24" t="s">
        <v>420</v>
      </c>
      <c r="C3760" s="30" t="s">
        <v>2609</v>
      </c>
      <c r="D3760" s="14" t="s">
        <v>422</v>
      </c>
    </row>
    <row r="3761" spans="1:4" ht="19.5" customHeight="1">
      <c r="A3761" s="8"/>
      <c r="B3761" s="38" t="s">
        <v>2758</v>
      </c>
      <c r="C3761" s="34" t="s">
        <v>2608</v>
      </c>
      <c r="D3761" s="14" t="s">
        <v>442</v>
      </c>
    </row>
    <row r="3762" spans="1:4" ht="19.5" customHeight="1">
      <c r="A3762" s="8"/>
      <c r="B3762" s="38" t="s">
        <v>2711</v>
      </c>
      <c r="C3762" s="36">
        <v>4</v>
      </c>
      <c r="D3762" s="14" t="s">
        <v>2377</v>
      </c>
    </row>
    <row r="3763" spans="1:4" ht="19.5" customHeight="1">
      <c r="A3763" s="8"/>
      <c r="B3763" s="38" t="s">
        <v>2712</v>
      </c>
      <c r="C3763" s="36">
        <v>1</v>
      </c>
      <c r="D3763" s="14" t="s">
        <v>2342</v>
      </c>
    </row>
    <row r="3764" spans="1:4" ht="19.5" customHeight="1">
      <c r="A3764" s="8"/>
      <c r="B3764" s="38" t="s">
        <v>2713</v>
      </c>
      <c r="C3764" s="36">
        <v>1</v>
      </c>
      <c r="D3764" s="14" t="s">
        <v>1082</v>
      </c>
    </row>
    <row r="3765" spans="1:4" ht="19.5" customHeight="1">
      <c r="A3765" s="8"/>
      <c r="B3765" s="38" t="s">
        <v>2714</v>
      </c>
      <c r="C3765" s="36">
        <v>1</v>
      </c>
      <c r="D3765" s="14" t="s">
        <v>1088</v>
      </c>
    </row>
    <row r="3766" spans="1:4" ht="19.5" customHeight="1">
      <c r="A3766" s="8"/>
      <c r="B3766" s="38" t="s">
        <v>2708</v>
      </c>
      <c r="C3766" s="36">
        <v>1</v>
      </c>
      <c r="D3766" s="14" t="s">
        <v>1101</v>
      </c>
    </row>
    <row r="3767" spans="1:4" ht="19.5" customHeight="1">
      <c r="A3767" s="8" t="s">
        <v>1532</v>
      </c>
      <c r="B3767" s="37" t="s">
        <v>2759</v>
      </c>
      <c r="C3767" s="34" t="s">
        <v>2608</v>
      </c>
      <c r="D3767" s="14" t="s">
        <v>1822</v>
      </c>
    </row>
    <row r="3768" spans="1:4" ht="19.5" customHeight="1">
      <c r="A3768" s="8"/>
      <c r="B3768" s="38" t="s">
        <v>2738</v>
      </c>
      <c r="C3768" s="34" t="s">
        <v>2608</v>
      </c>
      <c r="D3768" s="14" t="s">
        <v>1834</v>
      </c>
    </row>
    <row r="3769" spans="1:4" ht="19.5" customHeight="1">
      <c r="A3769" s="8"/>
      <c r="B3769" s="38" t="s">
        <v>420</v>
      </c>
      <c r="C3769" s="30" t="s">
        <v>2670</v>
      </c>
      <c r="D3769" s="14" t="s">
        <v>422</v>
      </c>
    </row>
    <row r="3770" spans="1:4" ht="19.5" customHeight="1">
      <c r="A3770" s="8"/>
      <c r="B3770" s="24" t="s">
        <v>420</v>
      </c>
      <c r="C3770" s="30" t="s">
        <v>2609</v>
      </c>
      <c r="D3770" s="14" t="s">
        <v>422</v>
      </c>
    </row>
    <row r="3771" spans="1:4" ht="15" customHeight="1">
      <c r="A3771" s="8"/>
      <c r="B3771" s="24" t="s">
        <v>2716</v>
      </c>
      <c r="C3771" s="34" t="s">
        <v>2608</v>
      </c>
      <c r="D3771" s="14" t="s">
        <v>2717</v>
      </c>
    </row>
    <row r="3772" spans="1:4" ht="19.5" customHeight="1">
      <c r="A3772" s="8"/>
      <c r="B3772" s="24" t="s">
        <v>420</v>
      </c>
      <c r="C3772" s="30" t="s">
        <v>2609</v>
      </c>
      <c r="D3772" s="14" t="s">
        <v>422</v>
      </c>
    </row>
    <row r="3773" spans="1:4" ht="19.5" customHeight="1">
      <c r="A3773" s="8"/>
      <c r="B3773" s="24" t="s">
        <v>420</v>
      </c>
      <c r="C3773" s="30" t="s">
        <v>2609</v>
      </c>
      <c r="D3773" s="14" t="s">
        <v>422</v>
      </c>
    </row>
    <row r="3774" spans="1:4" ht="19.5" customHeight="1">
      <c r="A3774" s="8"/>
      <c r="B3774" s="38" t="s">
        <v>2758</v>
      </c>
      <c r="C3774" s="34" t="s">
        <v>2608</v>
      </c>
      <c r="D3774" s="14" t="s">
        <v>442</v>
      </c>
    </row>
    <row r="3775" spans="1:4" ht="19.5" customHeight="1">
      <c r="A3775" s="8"/>
      <c r="B3775" s="38" t="s">
        <v>2711</v>
      </c>
      <c r="C3775" s="36">
        <v>4</v>
      </c>
      <c r="D3775" s="14" t="s">
        <v>2377</v>
      </c>
    </row>
    <row r="3776" spans="1:4" ht="19.5" customHeight="1">
      <c r="A3776" s="8"/>
      <c r="B3776" s="38" t="s">
        <v>2712</v>
      </c>
      <c r="C3776" s="36">
        <v>1</v>
      </c>
      <c r="D3776" s="14" t="s">
        <v>2342</v>
      </c>
    </row>
    <row r="3777" spans="1:4" ht="19.5" customHeight="1">
      <c r="A3777" s="8"/>
      <c r="B3777" s="38" t="s">
        <v>2713</v>
      </c>
      <c r="C3777" s="36">
        <v>1</v>
      </c>
      <c r="D3777" s="14" t="s">
        <v>1082</v>
      </c>
    </row>
    <row r="3778" spans="1:4" ht="19.5" customHeight="1">
      <c r="A3778" s="8"/>
      <c r="B3778" s="38" t="s">
        <v>2714</v>
      </c>
      <c r="C3778" s="36">
        <v>1</v>
      </c>
      <c r="D3778" s="14" t="s">
        <v>1088</v>
      </c>
    </row>
    <row r="3779" spans="1:4" ht="19.5" customHeight="1">
      <c r="A3779" s="8"/>
      <c r="B3779" s="38" t="s">
        <v>2708</v>
      </c>
      <c r="C3779" s="36">
        <v>1</v>
      </c>
      <c r="D3779" s="14" t="s">
        <v>1101</v>
      </c>
    </row>
    <row r="3780" spans="1:4" ht="19.5" customHeight="1">
      <c r="A3780" s="8" t="s">
        <v>1534</v>
      </c>
      <c r="B3780" s="37" t="s">
        <v>2757</v>
      </c>
      <c r="C3780" s="34" t="s">
        <v>2608</v>
      </c>
      <c r="D3780" s="14" t="s">
        <v>1822</v>
      </c>
    </row>
    <row r="3781" spans="1:4" ht="19.5" customHeight="1">
      <c r="A3781" s="8"/>
      <c r="B3781" s="38" t="s">
        <v>2738</v>
      </c>
      <c r="C3781" s="34" t="s">
        <v>2608</v>
      </c>
      <c r="D3781" s="14" t="s">
        <v>1834</v>
      </c>
    </row>
    <row r="3782" spans="1:4" ht="19.5" customHeight="1">
      <c r="A3782" s="8"/>
      <c r="B3782" s="38" t="s">
        <v>420</v>
      </c>
      <c r="C3782" s="30" t="s">
        <v>2670</v>
      </c>
      <c r="D3782" s="14" t="s">
        <v>422</v>
      </c>
    </row>
    <row r="3783" spans="1:4" ht="19.5" customHeight="1">
      <c r="A3783" s="8"/>
      <c r="B3783" s="24" t="s">
        <v>420</v>
      </c>
      <c r="C3783" s="30" t="s">
        <v>2609</v>
      </c>
      <c r="D3783" s="14" t="s">
        <v>422</v>
      </c>
    </row>
    <row r="3784" spans="1:4" ht="19.5" customHeight="1">
      <c r="A3784" s="8"/>
      <c r="B3784" s="24" t="s">
        <v>420</v>
      </c>
      <c r="C3784" s="30" t="s">
        <v>2609</v>
      </c>
      <c r="D3784" s="14" t="s">
        <v>422</v>
      </c>
    </row>
    <row r="3785" spans="1:4" ht="19.5" customHeight="1">
      <c r="A3785" s="8"/>
      <c r="B3785" s="24" t="s">
        <v>420</v>
      </c>
      <c r="C3785" s="30" t="s">
        <v>2609</v>
      </c>
      <c r="D3785" s="14" t="s">
        <v>422</v>
      </c>
    </row>
    <row r="3786" spans="1:4" ht="19.5" customHeight="1">
      <c r="A3786" s="8"/>
      <c r="B3786" s="38" t="s">
        <v>2758</v>
      </c>
      <c r="C3786" s="34" t="s">
        <v>2608</v>
      </c>
      <c r="D3786" s="14" t="s">
        <v>442</v>
      </c>
    </row>
    <row r="3787" spans="1:4" ht="19.5" customHeight="1">
      <c r="A3787" s="8"/>
      <c r="B3787" s="38" t="s">
        <v>2674</v>
      </c>
      <c r="C3787" s="36">
        <v>4</v>
      </c>
      <c r="D3787" s="14" t="s">
        <v>2377</v>
      </c>
    </row>
    <row r="3788" spans="1:4" ht="19.5" customHeight="1">
      <c r="A3788" s="8"/>
      <c r="B3788" s="38" t="s">
        <v>2712</v>
      </c>
      <c r="C3788" s="36">
        <v>1</v>
      </c>
      <c r="D3788" s="14" t="s">
        <v>2342</v>
      </c>
    </row>
    <row r="3789" spans="1:4" ht="19.5" customHeight="1">
      <c r="A3789" s="8"/>
      <c r="B3789" s="38" t="s">
        <v>2718</v>
      </c>
      <c r="C3789" s="36">
        <v>1</v>
      </c>
      <c r="D3789" s="14" t="s">
        <v>2719</v>
      </c>
    </row>
    <row r="3790" spans="1:4" ht="19.5" customHeight="1">
      <c r="A3790" s="8"/>
      <c r="B3790" s="38" t="s">
        <v>2720</v>
      </c>
      <c r="C3790" s="36">
        <v>4</v>
      </c>
      <c r="D3790" s="14" t="s">
        <v>1105</v>
      </c>
    </row>
    <row r="3791" spans="1:4" ht="19.5" customHeight="1">
      <c r="A3791" s="35"/>
      <c r="B3791" s="38"/>
      <c r="C3791" s="36"/>
      <c r="D3791" s="14"/>
    </row>
    <row r="3792" spans="1:4" ht="19.5" customHeight="1">
      <c r="A3792" s="35"/>
      <c r="B3792" s="38"/>
      <c r="C3792" s="36"/>
      <c r="D3792" s="14"/>
    </row>
    <row r="3793" spans="1:4" ht="19.5" customHeight="1">
      <c r="A3793" s="35"/>
      <c r="B3793" s="38"/>
      <c r="C3793" s="36"/>
      <c r="D3793" s="14"/>
    </row>
    <row r="3794" spans="1:4" ht="19.5" customHeight="1">
      <c r="A3794" s="8" t="s">
        <v>1536</v>
      </c>
      <c r="B3794" s="37" t="s">
        <v>2759</v>
      </c>
      <c r="C3794" s="34" t="s">
        <v>2608</v>
      </c>
      <c r="D3794" s="14" t="s">
        <v>1822</v>
      </c>
    </row>
    <row r="3795" spans="1:4" ht="19.5" customHeight="1">
      <c r="A3795" s="8"/>
      <c r="B3795" s="38" t="s">
        <v>2738</v>
      </c>
      <c r="C3795" s="34" t="s">
        <v>2608</v>
      </c>
      <c r="D3795" s="14" t="s">
        <v>1834</v>
      </c>
    </row>
    <row r="3796" spans="1:4" ht="19.5" customHeight="1">
      <c r="A3796" s="8"/>
      <c r="B3796" s="38" t="s">
        <v>420</v>
      </c>
      <c r="C3796" s="30" t="s">
        <v>2670</v>
      </c>
      <c r="D3796" s="14" t="s">
        <v>422</v>
      </c>
    </row>
    <row r="3797" spans="1:4" ht="19.5" customHeight="1">
      <c r="A3797" s="8"/>
      <c r="B3797" s="24" t="s">
        <v>420</v>
      </c>
      <c r="C3797" s="30" t="s">
        <v>2609</v>
      </c>
      <c r="D3797" s="14" t="s">
        <v>422</v>
      </c>
    </row>
    <row r="3798" spans="1:4" ht="19.5" customHeight="1">
      <c r="A3798" s="8"/>
      <c r="B3798" s="24" t="s">
        <v>2716</v>
      </c>
      <c r="C3798" s="34" t="s">
        <v>2608</v>
      </c>
      <c r="D3798" s="14" t="s">
        <v>2717</v>
      </c>
    </row>
    <row r="3799" spans="1:4" ht="19.5" customHeight="1">
      <c r="A3799" s="8"/>
      <c r="B3799" s="24" t="s">
        <v>420</v>
      </c>
      <c r="C3799" s="30" t="s">
        <v>2609</v>
      </c>
      <c r="D3799" s="14" t="s">
        <v>422</v>
      </c>
    </row>
    <row r="3800" spans="1:4" ht="19.5" customHeight="1">
      <c r="A3800" s="8"/>
      <c r="B3800" s="24" t="s">
        <v>420</v>
      </c>
      <c r="C3800" s="30" t="s">
        <v>2609</v>
      </c>
      <c r="D3800" s="14" t="s">
        <v>422</v>
      </c>
    </row>
    <row r="3801" spans="1:4" ht="19.5" customHeight="1">
      <c r="A3801" s="8"/>
      <c r="B3801" s="38" t="s">
        <v>2758</v>
      </c>
      <c r="C3801" s="34" t="s">
        <v>2608</v>
      </c>
      <c r="D3801" s="14" t="s">
        <v>442</v>
      </c>
    </row>
    <row r="3802" spans="1:4" ht="19.5" customHeight="1">
      <c r="A3802" s="8"/>
      <c r="B3802" s="38" t="s">
        <v>2711</v>
      </c>
      <c r="C3802" s="36">
        <v>4</v>
      </c>
      <c r="D3802" s="14" t="s">
        <v>2377</v>
      </c>
    </row>
    <row r="3803" spans="1:4" ht="19.5" customHeight="1">
      <c r="A3803" s="8"/>
      <c r="B3803" s="38" t="s">
        <v>2712</v>
      </c>
      <c r="C3803" s="36">
        <v>1</v>
      </c>
      <c r="D3803" s="14" t="s">
        <v>2342</v>
      </c>
    </row>
    <row r="3804" spans="1:4" ht="19.5" customHeight="1">
      <c r="A3804" s="8"/>
      <c r="B3804" s="38" t="s">
        <v>2718</v>
      </c>
      <c r="C3804" s="36">
        <v>1</v>
      </c>
      <c r="D3804" s="14" t="s">
        <v>2719</v>
      </c>
    </row>
    <row r="3805" spans="1:4" ht="19.5" customHeight="1">
      <c r="A3805" s="8"/>
      <c r="B3805" s="38" t="s">
        <v>2720</v>
      </c>
      <c r="C3805" s="36">
        <v>4</v>
      </c>
      <c r="D3805" s="14" t="s">
        <v>1105</v>
      </c>
    </row>
    <row r="3806" spans="1:4" ht="19.5" customHeight="1">
      <c r="A3806" s="40"/>
      <c r="B3806" s="14"/>
      <c r="C3806" s="14"/>
      <c r="D3806" s="14"/>
    </row>
    <row r="3807" spans="1:4" ht="19.5" customHeight="1">
      <c r="A3807" s="40"/>
      <c r="B3807" s="14"/>
      <c r="C3807" s="14"/>
      <c r="D3807" s="14"/>
    </row>
    <row r="3808" spans="1:4" ht="19.5" customHeight="1">
      <c r="A3808" s="40"/>
      <c r="B3808" s="14"/>
      <c r="C3808" s="14"/>
      <c r="D3808" s="14"/>
    </row>
    <row r="3809" spans="1:4" ht="19.5" customHeight="1">
      <c r="A3809" s="40"/>
      <c r="B3809" s="14"/>
      <c r="C3809" s="14"/>
      <c r="D3809" s="14"/>
    </row>
    <row r="3810" spans="1:4" ht="19.5" customHeight="1">
      <c r="A3810" s="7" t="s">
        <v>1706</v>
      </c>
      <c r="B3810" s="24" t="s">
        <v>2760</v>
      </c>
      <c r="C3810" s="30" t="s">
        <v>2608</v>
      </c>
      <c r="D3810" s="14" t="s">
        <v>452</v>
      </c>
    </row>
    <row r="3811" spans="1:4" ht="19.5" customHeight="1">
      <c r="A3811" s="7"/>
      <c r="B3811" s="24" t="s">
        <v>420</v>
      </c>
      <c r="C3811" s="30" t="s">
        <v>2609</v>
      </c>
      <c r="D3811" s="14" t="s">
        <v>422</v>
      </c>
    </row>
    <row r="3812" spans="1:4" ht="19.5" customHeight="1">
      <c r="A3812" s="7"/>
      <c r="B3812" s="24" t="s">
        <v>420</v>
      </c>
      <c r="C3812" s="30" t="s">
        <v>2609</v>
      </c>
      <c r="D3812" s="14" t="s">
        <v>422</v>
      </c>
    </row>
    <row r="3813" spans="1:4" ht="19.5" customHeight="1">
      <c r="A3813" s="7"/>
      <c r="B3813" s="24" t="s">
        <v>2761</v>
      </c>
      <c r="C3813" s="30" t="s">
        <v>2608</v>
      </c>
      <c r="D3813" s="14" t="s">
        <v>2184</v>
      </c>
    </row>
    <row r="3814" spans="1:4" ht="19.5" customHeight="1">
      <c r="A3814" s="7"/>
      <c r="B3814" s="24" t="s">
        <v>2762</v>
      </c>
      <c r="C3814" s="30" t="s">
        <v>2608</v>
      </c>
      <c r="D3814" s="14" t="s">
        <v>454</v>
      </c>
    </row>
    <row r="3815" spans="1:4" ht="19.5" customHeight="1">
      <c r="A3815" s="7"/>
      <c r="B3815" s="24" t="s">
        <v>2763</v>
      </c>
      <c r="C3815" s="30" t="s">
        <v>2608</v>
      </c>
      <c r="D3815" s="14" t="s">
        <v>460</v>
      </c>
    </row>
    <row r="3816" spans="1:4" ht="19.5" customHeight="1">
      <c r="A3816" s="7"/>
      <c r="B3816" s="24" t="s">
        <v>2725</v>
      </c>
      <c r="C3816" s="30" t="s">
        <v>2608</v>
      </c>
      <c r="D3816" s="14" t="s">
        <v>2726</v>
      </c>
    </row>
    <row r="3817" spans="1:4" ht="19.5" customHeight="1">
      <c r="A3817" s="7"/>
      <c r="B3817" s="24" t="s">
        <v>2764</v>
      </c>
      <c r="C3817" s="30" t="s">
        <v>2608</v>
      </c>
      <c r="D3817" s="14" t="s">
        <v>462</v>
      </c>
    </row>
    <row r="3818" spans="1:4" ht="19.5" customHeight="1">
      <c r="A3818" s="7"/>
      <c r="B3818" s="24" t="s">
        <v>2765</v>
      </c>
      <c r="C3818" s="30" t="s">
        <v>2609</v>
      </c>
      <c r="D3818" s="14" t="s">
        <v>424</v>
      </c>
    </row>
    <row r="3819" spans="1:4" ht="19.5" customHeight="1">
      <c r="A3819" s="7"/>
      <c r="B3819" s="24" t="s">
        <v>2617</v>
      </c>
      <c r="C3819" s="36">
        <v>1</v>
      </c>
      <c r="D3819" s="14" t="s">
        <v>2293</v>
      </c>
    </row>
    <row r="3820" spans="1:4" ht="19.5" customHeight="1">
      <c r="A3820" s="7"/>
      <c r="B3820" s="24" t="s">
        <v>2618</v>
      </c>
      <c r="C3820" s="36">
        <v>1</v>
      </c>
      <c r="D3820" s="14" t="s">
        <v>2317</v>
      </c>
    </row>
    <row r="3821" spans="1:4" ht="19.5" customHeight="1">
      <c r="A3821" s="7"/>
      <c r="B3821" s="24" t="s">
        <v>2619</v>
      </c>
      <c r="C3821" s="36">
        <v>2</v>
      </c>
      <c r="D3821" s="14" t="s">
        <v>2565</v>
      </c>
    </row>
    <row r="3822" spans="1:4" ht="19.5" customHeight="1">
      <c r="A3822" s="7"/>
      <c r="B3822" s="24" t="s">
        <v>2620</v>
      </c>
      <c r="C3822" s="36">
        <v>2</v>
      </c>
      <c r="D3822" s="14" t="s">
        <v>547</v>
      </c>
    </row>
    <row r="3823" spans="1:4" ht="19.5" customHeight="1">
      <c r="A3823" s="7"/>
      <c r="B3823" s="24" t="s">
        <v>2621</v>
      </c>
      <c r="C3823" s="36">
        <v>4</v>
      </c>
      <c r="D3823" s="14" t="s">
        <v>1107</v>
      </c>
    </row>
    <row r="3824" spans="1:4" ht="19.5" customHeight="1">
      <c r="A3824" s="7"/>
      <c r="B3824" s="24" t="s">
        <v>2622</v>
      </c>
      <c r="C3824" s="36">
        <v>1</v>
      </c>
      <c r="D3824" s="14" t="s">
        <v>651</v>
      </c>
    </row>
    <row r="3825" spans="1:4" ht="19.5" customHeight="1">
      <c r="A3825" s="7"/>
      <c r="B3825" s="24" t="s">
        <v>2568</v>
      </c>
      <c r="C3825" s="30" t="s">
        <v>2623</v>
      </c>
      <c r="D3825" s="14" t="s">
        <v>2569</v>
      </c>
    </row>
    <row r="3826" spans="1:4" ht="19.5" customHeight="1">
      <c r="A3826" s="7"/>
      <c r="B3826" s="24" t="s">
        <v>2624</v>
      </c>
      <c r="C3826" s="36">
        <v>2</v>
      </c>
      <c r="D3826" s="14" t="s">
        <v>1179</v>
      </c>
    </row>
    <row r="3827" spans="1:4" ht="19.5" customHeight="1">
      <c r="A3827" s="7"/>
      <c r="B3827" s="24" t="s">
        <v>2625</v>
      </c>
      <c r="C3827" s="36">
        <v>2</v>
      </c>
      <c r="D3827" s="14" t="s">
        <v>2571</v>
      </c>
    </row>
    <row r="3828" spans="1:4" ht="19.5" customHeight="1">
      <c r="A3828" s="7"/>
      <c r="B3828" s="31" t="s">
        <v>2626</v>
      </c>
      <c r="C3828" s="32" t="s">
        <v>2623</v>
      </c>
      <c r="D3828" s="14" t="s">
        <v>1181</v>
      </c>
    </row>
    <row r="3829" spans="1:4" ht="19.5" customHeight="1">
      <c r="A3829" s="35"/>
      <c r="B3829" s="24"/>
      <c r="C3829" s="36"/>
      <c r="D3829" s="14"/>
    </row>
    <row r="3830" spans="1:4" ht="19.5" customHeight="1">
      <c r="A3830" s="35"/>
      <c r="B3830" s="24"/>
      <c r="C3830" s="36"/>
      <c r="D3830" s="14"/>
    </row>
    <row r="3831" spans="1:4" ht="19.5" customHeight="1">
      <c r="A3831" s="35"/>
      <c r="B3831" s="24"/>
      <c r="C3831" s="36"/>
      <c r="D3831" s="14"/>
    </row>
    <row r="3832" spans="1:4" ht="19.5" customHeight="1">
      <c r="A3832" s="35"/>
      <c r="B3832" s="24"/>
      <c r="C3832" s="36"/>
      <c r="D3832" s="14"/>
    </row>
    <row r="3833" spans="1:4" ht="19.5" customHeight="1">
      <c r="A3833" s="9" t="s">
        <v>1709</v>
      </c>
      <c r="B3833" s="24" t="s">
        <v>2762</v>
      </c>
      <c r="C3833" s="34" t="s">
        <v>2608</v>
      </c>
      <c r="D3833" s="14" t="s">
        <v>454</v>
      </c>
    </row>
    <row r="3834" spans="1:4" ht="19.5" customHeight="1">
      <c r="A3834" s="9"/>
      <c r="B3834" s="24" t="s">
        <v>2763</v>
      </c>
      <c r="C3834" s="30" t="s">
        <v>2609</v>
      </c>
      <c r="D3834" s="14" t="s">
        <v>460</v>
      </c>
    </row>
    <row r="3835" spans="1:4" ht="19.5" customHeight="1">
      <c r="A3835" s="9"/>
      <c r="B3835" s="24" t="s">
        <v>420</v>
      </c>
      <c r="C3835" s="30" t="s">
        <v>2609</v>
      </c>
      <c r="D3835" s="14" t="s">
        <v>422</v>
      </c>
    </row>
    <row r="3836" spans="1:4" ht="19.5" customHeight="1">
      <c r="A3836" s="9"/>
      <c r="B3836" s="24" t="s">
        <v>2760</v>
      </c>
      <c r="C3836" s="30" t="s">
        <v>2608</v>
      </c>
      <c r="D3836" s="14" t="s">
        <v>452</v>
      </c>
    </row>
    <row r="3837" spans="1:4" ht="19.5" customHeight="1">
      <c r="A3837" s="9"/>
      <c r="B3837" s="24" t="s">
        <v>420</v>
      </c>
      <c r="C3837" s="30" t="s">
        <v>2608</v>
      </c>
      <c r="D3837" s="14" t="s">
        <v>422</v>
      </c>
    </row>
    <row r="3838" spans="1:4" ht="19.5" customHeight="1">
      <c r="A3838" s="9"/>
      <c r="B3838" s="24" t="s">
        <v>2664</v>
      </c>
      <c r="C3838" s="30" t="s">
        <v>2608</v>
      </c>
      <c r="D3838" s="14" t="s">
        <v>2579</v>
      </c>
    </row>
    <row r="3839" spans="1:4" ht="19.5" customHeight="1">
      <c r="A3839" s="9"/>
      <c r="B3839" s="24" t="s">
        <v>2665</v>
      </c>
      <c r="C3839" s="30" t="s">
        <v>2608</v>
      </c>
      <c r="D3839" s="14" t="s">
        <v>2583</v>
      </c>
    </row>
    <row r="3840" spans="1:4" ht="19.5" customHeight="1">
      <c r="A3840" s="9"/>
      <c r="B3840" s="24" t="s">
        <v>2766</v>
      </c>
      <c r="C3840" s="30" t="s">
        <v>2608</v>
      </c>
      <c r="D3840" s="14" t="s">
        <v>2184</v>
      </c>
    </row>
    <row r="3841" spans="1:4" ht="19.5" customHeight="1">
      <c r="A3841" s="9"/>
      <c r="B3841" s="24" t="s">
        <v>2725</v>
      </c>
      <c r="C3841" s="30" t="s">
        <v>2608</v>
      </c>
      <c r="D3841" s="14" t="s">
        <v>2726</v>
      </c>
    </row>
    <row r="3842" spans="1:4" ht="19.5" customHeight="1">
      <c r="A3842" s="9"/>
      <c r="B3842" s="24" t="s">
        <v>2764</v>
      </c>
      <c r="C3842" s="30" t="s">
        <v>2608</v>
      </c>
      <c r="D3842" s="14" t="s">
        <v>462</v>
      </c>
    </row>
    <row r="3843" spans="1:4" ht="19.5" customHeight="1">
      <c r="A3843" s="9"/>
      <c r="B3843" s="24" t="s">
        <v>2767</v>
      </c>
      <c r="C3843" s="30" t="s">
        <v>2609</v>
      </c>
      <c r="D3843" s="14" t="s">
        <v>424</v>
      </c>
    </row>
    <row r="3844" spans="1:4" ht="19.5" customHeight="1">
      <c r="A3844" s="9"/>
      <c r="B3844" s="24" t="s">
        <v>2617</v>
      </c>
      <c r="C3844" s="36">
        <v>1</v>
      </c>
      <c r="D3844" s="14" t="s">
        <v>2293</v>
      </c>
    </row>
    <row r="3845" spans="1:4" ht="19.5" customHeight="1">
      <c r="A3845" s="9"/>
      <c r="B3845" s="24" t="s">
        <v>2618</v>
      </c>
      <c r="C3845" s="36">
        <v>2</v>
      </c>
      <c r="D3845" s="14" t="s">
        <v>2317</v>
      </c>
    </row>
    <row r="3846" spans="1:4" ht="19.5" customHeight="1">
      <c r="A3846" s="9"/>
      <c r="B3846" s="24" t="s">
        <v>2619</v>
      </c>
      <c r="C3846" s="36">
        <v>4</v>
      </c>
      <c r="D3846" s="14" t="s">
        <v>2565</v>
      </c>
    </row>
    <row r="3847" spans="1:4" ht="19.5" customHeight="1">
      <c r="A3847" s="9"/>
      <c r="B3847" s="24" t="s">
        <v>2620</v>
      </c>
      <c r="C3847" s="36">
        <v>3</v>
      </c>
      <c r="D3847" s="14" t="s">
        <v>547</v>
      </c>
    </row>
    <row r="3848" spans="1:4" ht="19.5" customHeight="1">
      <c r="A3848" s="9"/>
      <c r="B3848" s="24" t="s">
        <v>2621</v>
      </c>
      <c r="C3848" s="36">
        <v>6</v>
      </c>
      <c r="D3848" s="14" t="s">
        <v>1107</v>
      </c>
    </row>
    <row r="3849" spans="1:4" ht="19.5" customHeight="1">
      <c r="A3849" s="9"/>
      <c r="B3849" s="24" t="s">
        <v>2622</v>
      </c>
      <c r="C3849" s="36">
        <v>2</v>
      </c>
      <c r="D3849" s="14" t="s">
        <v>651</v>
      </c>
    </row>
    <row r="3850" spans="1:4" ht="19.5" customHeight="1">
      <c r="A3850" s="9"/>
      <c r="B3850" s="24" t="s">
        <v>2568</v>
      </c>
      <c r="C3850" s="30" t="s">
        <v>2623</v>
      </c>
      <c r="D3850" s="14" t="s">
        <v>2569</v>
      </c>
    </row>
    <row r="3851" spans="1:4" ht="19.5" customHeight="1">
      <c r="A3851" s="9"/>
      <c r="B3851" s="24" t="s">
        <v>2624</v>
      </c>
      <c r="C3851" s="36">
        <v>4</v>
      </c>
      <c r="D3851" s="14" t="s">
        <v>1179</v>
      </c>
    </row>
    <row r="3852" spans="1:4" ht="15" customHeight="1">
      <c r="A3852" s="9"/>
      <c r="B3852" s="24" t="s">
        <v>2643</v>
      </c>
      <c r="C3852" s="36">
        <v>4</v>
      </c>
      <c r="D3852" s="14" t="s">
        <v>2575</v>
      </c>
    </row>
    <row r="3853" spans="1:4" ht="15" customHeight="1">
      <c r="A3853" s="9"/>
      <c r="B3853" s="31" t="s">
        <v>2626</v>
      </c>
      <c r="C3853" s="32" t="s">
        <v>2623</v>
      </c>
      <c r="D3853" s="14" t="s">
        <v>1181</v>
      </c>
    </row>
    <row r="3854" spans="1:4" ht="15" customHeight="1">
      <c r="A3854" s="8" t="s">
        <v>1711</v>
      </c>
      <c r="B3854" s="37" t="s">
        <v>2768</v>
      </c>
      <c r="C3854" s="34" t="s">
        <v>2608</v>
      </c>
      <c r="D3854" s="14" t="s">
        <v>428</v>
      </c>
    </row>
    <row r="3855" spans="1:4" ht="15" customHeight="1">
      <c r="A3855" s="8"/>
      <c r="B3855" s="24" t="s">
        <v>420</v>
      </c>
      <c r="C3855" s="30" t="s">
        <v>2609</v>
      </c>
      <c r="D3855" s="14" t="s">
        <v>422</v>
      </c>
    </row>
    <row r="3856" spans="1:4" ht="15" customHeight="1">
      <c r="A3856" s="8"/>
      <c r="B3856" s="24" t="s">
        <v>420</v>
      </c>
      <c r="C3856" s="30" t="s">
        <v>2769</v>
      </c>
      <c r="D3856" s="14" t="s">
        <v>422</v>
      </c>
    </row>
    <row r="3857" spans="1:4" ht="15" customHeight="1">
      <c r="A3857" s="8"/>
      <c r="B3857" s="24" t="s">
        <v>420</v>
      </c>
      <c r="C3857" s="30" t="s">
        <v>2608</v>
      </c>
      <c r="D3857" s="14" t="s">
        <v>422</v>
      </c>
    </row>
    <row r="3858" spans="1:4" ht="15" customHeight="1">
      <c r="A3858" s="8"/>
      <c r="B3858" s="38" t="s">
        <v>2770</v>
      </c>
      <c r="C3858" s="34" t="s">
        <v>2608</v>
      </c>
      <c r="D3858" s="14" t="s">
        <v>432</v>
      </c>
    </row>
    <row r="3859" spans="1:4" ht="19.5" customHeight="1">
      <c r="A3859" s="8"/>
      <c r="B3859" s="24" t="s">
        <v>2771</v>
      </c>
      <c r="C3859" s="34" t="s">
        <v>2608</v>
      </c>
      <c r="D3859" s="14" t="s">
        <v>2741</v>
      </c>
    </row>
    <row r="3860" spans="1:4" ht="15" customHeight="1">
      <c r="A3860" s="8"/>
      <c r="B3860" s="38" t="s">
        <v>2772</v>
      </c>
      <c r="C3860" s="36">
        <v>2</v>
      </c>
      <c r="D3860" s="14" t="s">
        <v>2377</v>
      </c>
    </row>
    <row r="3861" spans="1:4" ht="15" customHeight="1">
      <c r="A3861" s="8"/>
      <c r="B3861" s="38" t="s">
        <v>2744</v>
      </c>
      <c r="C3861" s="36">
        <v>1</v>
      </c>
      <c r="D3861" s="14" t="s">
        <v>2293</v>
      </c>
    </row>
    <row r="3862" spans="1:4" ht="15" customHeight="1">
      <c r="A3862" s="8"/>
      <c r="B3862" s="38" t="s">
        <v>2675</v>
      </c>
      <c r="C3862" s="36">
        <v>2</v>
      </c>
      <c r="D3862" s="14" t="s">
        <v>1105</v>
      </c>
    </row>
    <row r="3863" spans="1:4" ht="15" customHeight="1">
      <c r="A3863" s="8"/>
      <c r="B3863" s="39" t="s">
        <v>2676</v>
      </c>
      <c r="C3863" s="32">
        <v>1</v>
      </c>
      <c r="D3863" s="14" t="s">
        <v>530</v>
      </c>
    </row>
    <row r="3864" spans="1:4" ht="15" customHeight="1">
      <c r="A3864" s="8" t="s">
        <v>1713</v>
      </c>
      <c r="B3864" s="37" t="s">
        <v>2768</v>
      </c>
      <c r="C3864" s="34" t="s">
        <v>2608</v>
      </c>
      <c r="D3864" s="14" t="s">
        <v>428</v>
      </c>
    </row>
    <row r="3865" spans="1:4" ht="15" customHeight="1">
      <c r="A3865" s="8"/>
      <c r="B3865" s="24" t="s">
        <v>420</v>
      </c>
      <c r="C3865" s="30" t="s">
        <v>2609</v>
      </c>
      <c r="D3865" s="14" t="s">
        <v>422</v>
      </c>
    </row>
    <row r="3866" spans="1:4" ht="19.5" customHeight="1">
      <c r="A3866" s="8"/>
      <c r="B3866" s="24" t="s">
        <v>420</v>
      </c>
      <c r="C3866" s="30" t="s">
        <v>2608</v>
      </c>
      <c r="D3866" s="14" t="s">
        <v>422</v>
      </c>
    </row>
    <row r="3867" spans="1:4" ht="19.5" customHeight="1">
      <c r="A3867" s="8"/>
      <c r="B3867" s="24" t="s">
        <v>420</v>
      </c>
      <c r="C3867" s="30" t="s">
        <v>2769</v>
      </c>
      <c r="D3867" s="14" t="s">
        <v>422</v>
      </c>
    </row>
    <row r="3868" spans="1:4" ht="19.5" customHeight="1">
      <c r="A3868" s="8"/>
      <c r="B3868" s="24" t="s">
        <v>2679</v>
      </c>
      <c r="C3868" s="30" t="s">
        <v>2608</v>
      </c>
      <c r="D3868" s="14" t="s">
        <v>462</v>
      </c>
    </row>
    <row r="3869" spans="1:4" ht="19.5" customHeight="1">
      <c r="A3869" s="8"/>
      <c r="B3869" s="38" t="s">
        <v>2770</v>
      </c>
      <c r="C3869" s="34" t="s">
        <v>2608</v>
      </c>
      <c r="D3869" s="14" t="s">
        <v>432</v>
      </c>
    </row>
    <row r="3870" spans="1:4" ht="19.5" customHeight="1">
      <c r="A3870" s="8"/>
      <c r="B3870" s="24" t="s">
        <v>2771</v>
      </c>
      <c r="C3870" s="34" t="s">
        <v>2608</v>
      </c>
      <c r="D3870" s="14" t="s">
        <v>2741</v>
      </c>
    </row>
    <row r="3871" spans="1:4" ht="19.5" customHeight="1">
      <c r="A3871" s="8"/>
      <c r="B3871" s="38" t="s">
        <v>2772</v>
      </c>
      <c r="C3871" s="36">
        <v>2</v>
      </c>
      <c r="D3871" s="14" t="s">
        <v>2377</v>
      </c>
    </row>
    <row r="3872" spans="1:4" ht="19.5" customHeight="1">
      <c r="A3872" s="8"/>
      <c r="B3872" s="38" t="s">
        <v>2744</v>
      </c>
      <c r="C3872" s="36">
        <v>1</v>
      </c>
      <c r="D3872" s="14" t="s">
        <v>2293</v>
      </c>
    </row>
    <row r="3873" spans="1:4" ht="19.5" customHeight="1">
      <c r="A3873" s="8"/>
      <c r="B3873" s="38" t="s">
        <v>2675</v>
      </c>
      <c r="C3873" s="36">
        <v>2</v>
      </c>
      <c r="D3873" s="14" t="s">
        <v>1105</v>
      </c>
    </row>
    <row r="3874" spans="1:4" ht="19.5" customHeight="1">
      <c r="A3874" s="8"/>
      <c r="B3874" s="39" t="s">
        <v>2676</v>
      </c>
      <c r="C3874" s="32">
        <v>1</v>
      </c>
      <c r="D3874" s="14" t="s">
        <v>530</v>
      </c>
    </row>
    <row r="3875" spans="1:4" ht="19.5" customHeight="1">
      <c r="A3875" s="8" t="s">
        <v>1715</v>
      </c>
      <c r="B3875" s="37" t="s">
        <v>2768</v>
      </c>
      <c r="C3875" s="34" t="s">
        <v>2608</v>
      </c>
      <c r="D3875" s="14" t="s">
        <v>428</v>
      </c>
    </row>
    <row r="3876" spans="1:4" ht="19.5" customHeight="1">
      <c r="A3876" s="8"/>
      <c r="B3876" s="24" t="s">
        <v>420</v>
      </c>
      <c r="C3876" s="30" t="s">
        <v>2609</v>
      </c>
      <c r="D3876" s="14" t="s">
        <v>422</v>
      </c>
    </row>
    <row r="3877" spans="1:4" ht="19.5" customHeight="1">
      <c r="A3877" s="8"/>
      <c r="B3877" s="24" t="s">
        <v>420</v>
      </c>
      <c r="C3877" s="30" t="s">
        <v>2769</v>
      </c>
      <c r="D3877" s="14" t="s">
        <v>422</v>
      </c>
    </row>
    <row r="3878" spans="1:4" ht="19.5" customHeight="1">
      <c r="A3878" s="8"/>
      <c r="B3878" s="24" t="s">
        <v>420</v>
      </c>
      <c r="C3878" s="30" t="s">
        <v>2608</v>
      </c>
      <c r="D3878" s="14" t="s">
        <v>422</v>
      </c>
    </row>
    <row r="3879" spans="1:4" ht="19.5" customHeight="1">
      <c r="A3879" s="8"/>
      <c r="B3879" s="38" t="s">
        <v>2773</v>
      </c>
      <c r="C3879" s="34" t="s">
        <v>2608</v>
      </c>
      <c r="D3879" s="14" t="s">
        <v>434</v>
      </c>
    </row>
    <row r="3880" spans="1:4" ht="19.5" customHeight="1">
      <c r="A3880" s="8"/>
      <c r="B3880" s="24" t="s">
        <v>2771</v>
      </c>
      <c r="C3880" s="34" t="s">
        <v>2608</v>
      </c>
      <c r="D3880" s="14" t="s">
        <v>2741</v>
      </c>
    </row>
    <row r="3881" spans="1:4" ht="19.5" customHeight="1">
      <c r="A3881" s="8"/>
      <c r="B3881" s="38" t="s">
        <v>2772</v>
      </c>
      <c r="C3881" s="36">
        <v>2</v>
      </c>
      <c r="D3881" s="14" t="s">
        <v>2377</v>
      </c>
    </row>
    <row r="3882" spans="1:4" ht="19.5" customHeight="1">
      <c r="A3882" s="8"/>
      <c r="B3882" s="38" t="s">
        <v>2744</v>
      </c>
      <c r="C3882" s="36">
        <v>1</v>
      </c>
      <c r="D3882" s="14" t="s">
        <v>2293</v>
      </c>
    </row>
    <row r="3883" spans="1:4" ht="19.5" customHeight="1">
      <c r="A3883" s="8"/>
      <c r="B3883" s="38" t="s">
        <v>2675</v>
      </c>
      <c r="C3883" s="36">
        <v>2</v>
      </c>
      <c r="D3883" s="14" t="s">
        <v>1105</v>
      </c>
    </row>
    <row r="3884" spans="1:4" ht="19.5" customHeight="1">
      <c r="A3884" s="8"/>
      <c r="B3884" s="39" t="s">
        <v>2676</v>
      </c>
      <c r="C3884" s="32">
        <v>1</v>
      </c>
      <c r="D3884" s="14" t="s">
        <v>530</v>
      </c>
    </row>
    <row r="3885" spans="1:4" ht="19.5" customHeight="1">
      <c r="A3885" s="8" t="s">
        <v>1717</v>
      </c>
      <c r="B3885" s="37" t="s">
        <v>2768</v>
      </c>
      <c r="C3885" s="34" t="s">
        <v>2608</v>
      </c>
      <c r="D3885" s="14" t="s">
        <v>428</v>
      </c>
    </row>
    <row r="3886" spans="1:4" ht="19.5" customHeight="1">
      <c r="A3886" s="8"/>
      <c r="B3886" s="24" t="s">
        <v>420</v>
      </c>
      <c r="C3886" s="30" t="s">
        <v>2609</v>
      </c>
      <c r="D3886" s="14" t="s">
        <v>422</v>
      </c>
    </row>
    <row r="3887" spans="1:4" ht="19.5" customHeight="1">
      <c r="A3887" s="8"/>
      <c r="B3887" s="24" t="s">
        <v>420</v>
      </c>
      <c r="C3887" s="30" t="s">
        <v>2608</v>
      </c>
      <c r="D3887" s="14" t="s">
        <v>422</v>
      </c>
    </row>
    <row r="3888" spans="1:4" ht="19.5" customHeight="1">
      <c r="A3888" s="8"/>
      <c r="B3888" s="24" t="s">
        <v>420</v>
      </c>
      <c r="C3888" s="30" t="s">
        <v>2769</v>
      </c>
      <c r="D3888" s="14" t="s">
        <v>422</v>
      </c>
    </row>
    <row r="3889" spans="1:4" ht="19.5" customHeight="1">
      <c r="A3889" s="8"/>
      <c r="B3889" s="24" t="s">
        <v>2679</v>
      </c>
      <c r="C3889" s="30" t="s">
        <v>2608</v>
      </c>
      <c r="D3889" s="14" t="s">
        <v>462</v>
      </c>
    </row>
    <row r="3890" spans="1:4" ht="19.5" customHeight="1">
      <c r="A3890" s="8"/>
      <c r="B3890" s="38" t="s">
        <v>2773</v>
      </c>
      <c r="C3890" s="34" t="s">
        <v>2608</v>
      </c>
      <c r="D3890" s="14" t="s">
        <v>434</v>
      </c>
    </row>
    <row r="3891" spans="1:4" ht="19.5" customHeight="1">
      <c r="A3891" s="8"/>
      <c r="B3891" s="24" t="s">
        <v>2771</v>
      </c>
      <c r="C3891" s="34" t="s">
        <v>2608</v>
      </c>
      <c r="D3891" s="14" t="s">
        <v>2741</v>
      </c>
    </row>
    <row r="3892" spans="1:4" ht="19.5" customHeight="1">
      <c r="A3892" s="8"/>
      <c r="B3892" s="38" t="s">
        <v>2772</v>
      </c>
      <c r="C3892" s="36">
        <v>2</v>
      </c>
      <c r="D3892" s="14" t="s">
        <v>2377</v>
      </c>
    </row>
    <row r="3893" spans="1:4" ht="19.5" customHeight="1">
      <c r="A3893" s="8"/>
      <c r="B3893" s="38" t="s">
        <v>2744</v>
      </c>
      <c r="C3893" s="36">
        <v>1</v>
      </c>
      <c r="D3893" s="14" t="s">
        <v>2293</v>
      </c>
    </row>
    <row r="3894" spans="1:4" ht="19.5" customHeight="1">
      <c r="A3894" s="8"/>
      <c r="B3894" s="38" t="s">
        <v>2675</v>
      </c>
      <c r="C3894" s="36">
        <v>2</v>
      </c>
      <c r="D3894" s="14" t="s">
        <v>1105</v>
      </c>
    </row>
    <row r="3895" spans="1:4" ht="19.5" customHeight="1">
      <c r="A3895" s="8"/>
      <c r="B3895" s="39" t="s">
        <v>2676</v>
      </c>
      <c r="C3895" s="32">
        <v>1</v>
      </c>
      <c r="D3895" s="14" t="s">
        <v>530</v>
      </c>
    </row>
    <row r="3896" spans="1:4" ht="19.5" customHeight="1">
      <c r="A3896" s="8" t="s">
        <v>1719</v>
      </c>
      <c r="B3896" s="37" t="s">
        <v>2768</v>
      </c>
      <c r="C3896" s="34" t="s">
        <v>2608</v>
      </c>
      <c r="D3896" s="14" t="s">
        <v>428</v>
      </c>
    </row>
    <row r="3897" spans="1:4" ht="19.5" customHeight="1">
      <c r="A3897" s="8"/>
      <c r="B3897" s="24" t="s">
        <v>420</v>
      </c>
      <c r="C3897" s="30" t="s">
        <v>2609</v>
      </c>
      <c r="D3897" s="14" t="s">
        <v>422</v>
      </c>
    </row>
    <row r="3898" spans="1:4" ht="19.5" customHeight="1">
      <c r="A3898" s="8"/>
      <c r="B3898" s="24" t="s">
        <v>420</v>
      </c>
      <c r="C3898" s="30" t="s">
        <v>2608</v>
      </c>
      <c r="D3898" s="14" t="s">
        <v>422</v>
      </c>
    </row>
    <row r="3899" spans="1:4" ht="19.5" customHeight="1">
      <c r="A3899" s="8"/>
      <c r="B3899" s="24" t="s">
        <v>420</v>
      </c>
      <c r="C3899" s="30" t="s">
        <v>2609</v>
      </c>
      <c r="D3899" s="14" t="s">
        <v>422</v>
      </c>
    </row>
    <row r="3900" spans="1:4" ht="19.5" customHeight="1">
      <c r="A3900" s="8"/>
      <c r="B3900" s="24" t="s">
        <v>420</v>
      </c>
      <c r="C3900" s="30" t="s">
        <v>2769</v>
      </c>
      <c r="D3900" s="14" t="s">
        <v>422</v>
      </c>
    </row>
    <row r="3901" spans="1:4" ht="19.5" customHeight="1">
      <c r="A3901" s="8"/>
      <c r="B3901" s="38" t="s">
        <v>2770</v>
      </c>
      <c r="C3901" s="34" t="s">
        <v>2608</v>
      </c>
      <c r="D3901" s="14" t="s">
        <v>432</v>
      </c>
    </row>
    <row r="3902" spans="1:4" ht="19.5" customHeight="1">
      <c r="A3902" s="8"/>
      <c r="B3902" s="24" t="s">
        <v>2685</v>
      </c>
      <c r="C3902" s="34" t="s">
        <v>2608</v>
      </c>
      <c r="D3902" s="14" t="s">
        <v>438</v>
      </c>
    </row>
    <row r="3903" spans="1:4" ht="19.5" customHeight="1">
      <c r="A3903" s="8"/>
      <c r="B3903" s="24" t="s">
        <v>2771</v>
      </c>
      <c r="C3903" s="34" t="s">
        <v>2608</v>
      </c>
      <c r="D3903" s="14" t="s">
        <v>2741</v>
      </c>
    </row>
    <row r="3904" spans="1:4" ht="19.5" customHeight="1">
      <c r="A3904" s="8"/>
      <c r="B3904" s="38" t="s">
        <v>2772</v>
      </c>
      <c r="C3904" s="36">
        <v>4</v>
      </c>
      <c r="D3904" s="14" t="s">
        <v>2377</v>
      </c>
    </row>
    <row r="3905" spans="1:4" ht="19.5" customHeight="1">
      <c r="A3905" s="8"/>
      <c r="B3905" s="38" t="s">
        <v>2747</v>
      </c>
      <c r="C3905" s="36">
        <v>1</v>
      </c>
      <c r="D3905" s="14" t="s">
        <v>2595</v>
      </c>
    </row>
    <row r="3906" spans="1:4" ht="19.5" customHeight="1">
      <c r="A3906" s="8"/>
      <c r="B3906" s="38" t="s">
        <v>2744</v>
      </c>
      <c r="C3906" s="36">
        <v>1</v>
      </c>
      <c r="D3906" s="14" t="s">
        <v>2293</v>
      </c>
    </row>
    <row r="3907" spans="1:4" ht="19.5" customHeight="1">
      <c r="A3907" s="8"/>
      <c r="B3907" s="38" t="s">
        <v>2748</v>
      </c>
      <c r="C3907" s="36">
        <v>2</v>
      </c>
      <c r="D3907" s="14" t="s">
        <v>1117</v>
      </c>
    </row>
    <row r="3908" spans="1:4" ht="19.5" customHeight="1">
      <c r="A3908" s="8"/>
      <c r="B3908" s="38" t="s">
        <v>2749</v>
      </c>
      <c r="C3908" s="36">
        <v>2</v>
      </c>
      <c r="D3908" s="14" t="s">
        <v>1119</v>
      </c>
    </row>
    <row r="3909" spans="1:4" ht="19.5" customHeight="1">
      <c r="A3909" s="8"/>
      <c r="B3909" s="38" t="s">
        <v>2687</v>
      </c>
      <c r="C3909" s="36">
        <v>2</v>
      </c>
      <c r="D3909" s="14" t="s">
        <v>1103</v>
      </c>
    </row>
    <row r="3910" spans="1:4" ht="19.5" customHeight="1">
      <c r="A3910" s="8"/>
      <c r="B3910" s="39" t="s">
        <v>2676</v>
      </c>
      <c r="C3910" s="32">
        <v>1</v>
      </c>
      <c r="D3910" s="14" t="s">
        <v>530</v>
      </c>
    </row>
    <row r="3911" spans="1:4" ht="19.5" customHeight="1">
      <c r="A3911" s="35"/>
      <c r="B3911" s="38"/>
      <c r="C3911" s="36"/>
      <c r="D3911" s="14"/>
    </row>
    <row r="3912" spans="1:4" ht="19.5" customHeight="1">
      <c r="A3912" s="35"/>
      <c r="B3912" s="38"/>
      <c r="C3912" s="36"/>
      <c r="D3912" s="14"/>
    </row>
    <row r="3913" spans="1:4" ht="19.5" customHeight="1">
      <c r="A3913" s="35"/>
      <c r="B3913" s="38"/>
      <c r="C3913" s="36"/>
      <c r="D3913" s="14"/>
    </row>
    <row r="3914" spans="1:4" ht="19.5" customHeight="1">
      <c r="A3914" s="35"/>
      <c r="B3914" s="38"/>
      <c r="C3914" s="36"/>
      <c r="D3914" s="14"/>
    </row>
    <row r="3915" spans="1:4" ht="19.5" customHeight="1">
      <c r="A3915" s="35"/>
      <c r="B3915" s="38"/>
      <c r="C3915" s="36"/>
      <c r="D3915" s="14"/>
    </row>
    <row r="3916" spans="1:4" ht="19.5" customHeight="1">
      <c r="A3916" s="35"/>
      <c r="B3916" s="38"/>
      <c r="C3916" s="36"/>
      <c r="D3916" s="14"/>
    </row>
    <row r="3917" spans="1:4" ht="19.5" customHeight="1">
      <c r="A3917" s="35"/>
      <c r="B3917" s="38"/>
      <c r="C3917" s="36"/>
      <c r="D3917" s="14"/>
    </row>
    <row r="3918" spans="1:4" ht="19.5" customHeight="1">
      <c r="A3918" s="35"/>
      <c r="B3918" s="38"/>
      <c r="C3918" s="36"/>
      <c r="D3918" s="14"/>
    </row>
    <row r="3919" spans="1:4" ht="19.5" customHeight="1">
      <c r="A3919" s="8" t="s">
        <v>1721</v>
      </c>
      <c r="B3919" s="37" t="s">
        <v>2768</v>
      </c>
      <c r="C3919" s="34" t="s">
        <v>2608</v>
      </c>
      <c r="D3919" s="14" t="s">
        <v>428</v>
      </c>
    </row>
    <row r="3920" spans="1:4" ht="19.5" customHeight="1">
      <c r="A3920" s="8"/>
      <c r="B3920" s="24" t="s">
        <v>420</v>
      </c>
      <c r="C3920" s="30" t="s">
        <v>2609</v>
      </c>
      <c r="D3920" s="14" t="s">
        <v>422</v>
      </c>
    </row>
    <row r="3921" spans="1:4" ht="19.5" customHeight="1">
      <c r="A3921" s="8"/>
      <c r="B3921" s="24" t="s">
        <v>420</v>
      </c>
      <c r="C3921" s="30" t="s">
        <v>2609</v>
      </c>
      <c r="D3921" s="14" t="s">
        <v>422</v>
      </c>
    </row>
    <row r="3922" spans="1:4" ht="19.5" customHeight="1">
      <c r="A3922" s="8"/>
      <c r="B3922" s="24" t="s">
        <v>420</v>
      </c>
      <c r="C3922" s="30" t="s">
        <v>2609</v>
      </c>
      <c r="D3922" s="14" t="s">
        <v>422</v>
      </c>
    </row>
    <row r="3923" spans="1:4" ht="19.5" customHeight="1">
      <c r="A3923" s="8"/>
      <c r="B3923" s="24" t="s">
        <v>420</v>
      </c>
      <c r="C3923" s="30" t="s">
        <v>2769</v>
      </c>
      <c r="D3923" s="14" t="s">
        <v>422</v>
      </c>
    </row>
    <row r="3924" spans="1:4" ht="19.5" customHeight="1">
      <c r="A3924" s="8"/>
      <c r="B3924" s="24" t="s">
        <v>2679</v>
      </c>
      <c r="C3924" s="34" t="s">
        <v>2608</v>
      </c>
      <c r="D3924" s="14" t="s">
        <v>462</v>
      </c>
    </row>
    <row r="3925" spans="1:4" ht="19.5" customHeight="1">
      <c r="A3925" s="8"/>
      <c r="B3925" s="38" t="s">
        <v>2770</v>
      </c>
      <c r="C3925" s="34" t="s">
        <v>2608</v>
      </c>
      <c r="D3925" s="14" t="s">
        <v>432</v>
      </c>
    </row>
    <row r="3926" spans="1:4" ht="19.5" customHeight="1">
      <c r="A3926" s="8"/>
      <c r="B3926" s="24" t="s">
        <v>2685</v>
      </c>
      <c r="C3926" s="34" t="s">
        <v>2608</v>
      </c>
      <c r="D3926" s="14" t="s">
        <v>438</v>
      </c>
    </row>
    <row r="3927" spans="1:4" ht="19.5" customHeight="1">
      <c r="A3927" s="8"/>
      <c r="B3927" s="24" t="s">
        <v>2771</v>
      </c>
      <c r="C3927" s="34" t="s">
        <v>2608</v>
      </c>
      <c r="D3927" s="14" t="s">
        <v>2741</v>
      </c>
    </row>
    <row r="3928" spans="1:4" ht="19.5" customHeight="1">
      <c r="A3928" s="8"/>
      <c r="B3928" s="38" t="s">
        <v>2772</v>
      </c>
      <c r="C3928" s="36">
        <v>4</v>
      </c>
      <c r="D3928" s="14" t="s">
        <v>2377</v>
      </c>
    </row>
    <row r="3929" spans="1:4" ht="19.5" customHeight="1">
      <c r="A3929" s="8"/>
      <c r="B3929" s="38" t="s">
        <v>2744</v>
      </c>
      <c r="C3929" s="36">
        <v>1</v>
      </c>
      <c r="D3929" s="14" t="s">
        <v>2293</v>
      </c>
    </row>
    <row r="3930" spans="1:4" ht="19.5" customHeight="1">
      <c r="A3930" s="8"/>
      <c r="B3930" s="38" t="s">
        <v>2747</v>
      </c>
      <c r="C3930" s="36">
        <v>1</v>
      </c>
      <c r="D3930" s="14" t="s">
        <v>2595</v>
      </c>
    </row>
    <row r="3931" spans="1:4" ht="19.5" customHeight="1">
      <c r="A3931" s="8"/>
      <c r="B3931" s="38" t="s">
        <v>2748</v>
      </c>
      <c r="C3931" s="36">
        <v>2</v>
      </c>
      <c r="D3931" s="14" t="s">
        <v>1117</v>
      </c>
    </row>
    <row r="3932" spans="1:4" ht="19.5" customHeight="1">
      <c r="A3932" s="8"/>
      <c r="B3932" s="38" t="s">
        <v>2749</v>
      </c>
      <c r="C3932" s="36">
        <v>2</v>
      </c>
      <c r="D3932" s="14" t="s">
        <v>1119</v>
      </c>
    </row>
    <row r="3933" spans="1:4" ht="16.5" customHeight="1">
      <c r="A3933" s="8"/>
      <c r="B3933" s="38" t="s">
        <v>2687</v>
      </c>
      <c r="C3933" s="36">
        <v>2</v>
      </c>
      <c r="D3933" s="14" t="s">
        <v>1103</v>
      </c>
    </row>
    <row r="3934" spans="1:4" ht="17.25" customHeight="1">
      <c r="A3934" s="8"/>
      <c r="B3934" s="39" t="s">
        <v>2676</v>
      </c>
      <c r="C3934" s="32">
        <v>1</v>
      </c>
      <c r="D3934" s="14" t="s">
        <v>530</v>
      </c>
    </row>
    <row r="3935" spans="1:4" ht="15" customHeight="1">
      <c r="A3935" s="8" t="s">
        <v>1723</v>
      </c>
      <c r="B3935" s="37" t="s">
        <v>2768</v>
      </c>
      <c r="C3935" s="34" t="s">
        <v>2608</v>
      </c>
      <c r="D3935" s="14" t="s">
        <v>428</v>
      </c>
    </row>
    <row r="3936" spans="1:4" ht="16.5" customHeight="1">
      <c r="A3936" s="8"/>
      <c r="B3936" s="24" t="s">
        <v>420</v>
      </c>
      <c r="C3936" s="30" t="s">
        <v>2609</v>
      </c>
      <c r="D3936" s="14" t="s">
        <v>422</v>
      </c>
    </row>
    <row r="3937" spans="1:4" ht="15.75" customHeight="1">
      <c r="A3937" s="8"/>
      <c r="B3937" s="24" t="s">
        <v>420</v>
      </c>
      <c r="C3937" s="30" t="s">
        <v>2608</v>
      </c>
      <c r="D3937" s="14" t="s">
        <v>422</v>
      </c>
    </row>
    <row r="3938" spans="1:4" ht="19.5" customHeight="1">
      <c r="A3938" s="8"/>
      <c r="B3938" s="24" t="s">
        <v>420</v>
      </c>
      <c r="C3938" s="30" t="s">
        <v>2769</v>
      </c>
      <c r="D3938" s="14" t="s">
        <v>422</v>
      </c>
    </row>
    <row r="3939" spans="1:4" ht="19.5" customHeight="1">
      <c r="A3939" s="8"/>
      <c r="B3939" s="24" t="s">
        <v>420</v>
      </c>
      <c r="C3939" s="30" t="s">
        <v>2609</v>
      </c>
      <c r="D3939" s="14" t="s">
        <v>422</v>
      </c>
    </row>
    <row r="3940" spans="1:4" ht="19.5" customHeight="1">
      <c r="A3940" s="8"/>
      <c r="B3940" s="38" t="s">
        <v>2773</v>
      </c>
      <c r="C3940" s="34" t="s">
        <v>2608</v>
      </c>
      <c r="D3940" s="14" t="s">
        <v>434</v>
      </c>
    </row>
    <row r="3941" spans="1:4" ht="15" customHeight="1">
      <c r="A3941" s="8"/>
      <c r="B3941" s="24" t="s">
        <v>2685</v>
      </c>
      <c r="C3941" s="34" t="s">
        <v>2608</v>
      </c>
      <c r="D3941" s="14" t="s">
        <v>438</v>
      </c>
    </row>
    <row r="3942" spans="1:4" ht="15" customHeight="1">
      <c r="A3942" s="8"/>
      <c r="B3942" s="24" t="s">
        <v>2771</v>
      </c>
      <c r="C3942" s="34" t="s">
        <v>2608</v>
      </c>
      <c r="D3942" s="14" t="s">
        <v>2741</v>
      </c>
    </row>
    <row r="3943" spans="1:4" ht="15" customHeight="1">
      <c r="A3943" s="8"/>
      <c r="B3943" s="38" t="s">
        <v>2772</v>
      </c>
      <c r="C3943" s="36">
        <v>4</v>
      </c>
      <c r="D3943" s="14" t="s">
        <v>2377</v>
      </c>
    </row>
    <row r="3944" spans="1:4" ht="19.5" customHeight="1">
      <c r="A3944" s="8"/>
      <c r="B3944" s="38" t="s">
        <v>2744</v>
      </c>
      <c r="C3944" s="36">
        <v>1</v>
      </c>
      <c r="D3944" s="14" t="s">
        <v>2293</v>
      </c>
    </row>
    <row r="3945" spans="1:4" ht="15" customHeight="1">
      <c r="A3945" s="8"/>
      <c r="B3945" s="38" t="s">
        <v>2747</v>
      </c>
      <c r="C3945" s="36">
        <v>1</v>
      </c>
      <c r="D3945" s="14" t="s">
        <v>2595</v>
      </c>
    </row>
    <row r="3946" spans="1:4" ht="15" customHeight="1">
      <c r="A3946" s="8"/>
      <c r="B3946" s="38" t="s">
        <v>2748</v>
      </c>
      <c r="C3946" s="36">
        <v>2</v>
      </c>
      <c r="D3946" s="14" t="s">
        <v>1117</v>
      </c>
    </row>
    <row r="3947" spans="1:4" ht="15" customHeight="1">
      <c r="A3947" s="8"/>
      <c r="B3947" s="38" t="s">
        <v>2749</v>
      </c>
      <c r="C3947" s="36">
        <v>2</v>
      </c>
      <c r="D3947" s="14" t="s">
        <v>1119</v>
      </c>
    </row>
    <row r="3948" spans="1:4" ht="15" customHeight="1">
      <c r="A3948" s="8"/>
      <c r="B3948" s="38" t="s">
        <v>2687</v>
      </c>
      <c r="C3948" s="36">
        <v>2</v>
      </c>
      <c r="D3948" s="14" t="s">
        <v>1103</v>
      </c>
    </row>
    <row r="3949" spans="1:4" ht="15" customHeight="1">
      <c r="A3949" s="8"/>
      <c r="B3949" s="39" t="s">
        <v>2676</v>
      </c>
      <c r="C3949" s="32">
        <v>1</v>
      </c>
      <c r="D3949" s="14" t="s">
        <v>530</v>
      </c>
    </row>
    <row r="3950" spans="1:4" ht="15" customHeight="1">
      <c r="A3950" s="35"/>
      <c r="B3950" s="38"/>
      <c r="C3950" s="36"/>
      <c r="D3950" s="14"/>
    </row>
    <row r="3951" spans="1:4" ht="15" customHeight="1">
      <c r="A3951" s="35"/>
      <c r="B3951" s="38"/>
      <c r="C3951" s="36"/>
      <c r="D3951" s="14"/>
    </row>
    <row r="3952" spans="1:4" ht="15" customHeight="1">
      <c r="A3952" s="35"/>
      <c r="B3952" s="38"/>
      <c r="C3952" s="36"/>
      <c r="D3952" s="14"/>
    </row>
    <row r="3953" spans="1:4" ht="15" customHeight="1">
      <c r="A3953" s="35"/>
      <c r="B3953" s="38"/>
      <c r="C3953" s="36"/>
      <c r="D3953" s="14"/>
    </row>
    <row r="3954" spans="1:4" ht="15" customHeight="1">
      <c r="A3954" s="35"/>
      <c r="B3954" s="38"/>
      <c r="C3954" s="36"/>
      <c r="D3954" s="14"/>
    </row>
    <row r="3955" spans="1:4" ht="15" customHeight="1">
      <c r="A3955" s="35"/>
      <c r="B3955" s="38"/>
      <c r="C3955" s="36"/>
      <c r="D3955" s="14"/>
    </row>
    <row r="3956" spans="1:4" ht="15" customHeight="1">
      <c r="A3956" s="35"/>
      <c r="B3956" s="38"/>
      <c r="C3956" s="36"/>
      <c r="D3956" s="14"/>
    </row>
    <row r="3957" spans="1:4" ht="17.25" customHeight="1">
      <c r="A3957" s="8" t="s">
        <v>1725</v>
      </c>
      <c r="B3957" s="37" t="s">
        <v>2768</v>
      </c>
      <c r="C3957" s="34" t="s">
        <v>2608</v>
      </c>
      <c r="D3957" s="14" t="s">
        <v>428</v>
      </c>
    </row>
    <row r="3958" spans="1:4" ht="17.25" customHeight="1">
      <c r="A3958" s="8"/>
      <c r="B3958" s="24" t="s">
        <v>420</v>
      </c>
      <c r="C3958" s="30" t="s">
        <v>2609</v>
      </c>
      <c r="D3958" s="14" t="s">
        <v>422</v>
      </c>
    </row>
    <row r="3959" spans="1:4" ht="18" customHeight="1">
      <c r="A3959" s="8"/>
      <c r="B3959" s="24" t="s">
        <v>420</v>
      </c>
      <c r="C3959" s="30" t="s">
        <v>2609</v>
      </c>
      <c r="D3959" s="14" t="s">
        <v>422</v>
      </c>
    </row>
    <row r="3960" spans="1:4" ht="19.5" customHeight="1">
      <c r="A3960" s="8"/>
      <c r="B3960" s="24" t="s">
        <v>420</v>
      </c>
      <c r="C3960" s="30" t="s">
        <v>2609</v>
      </c>
      <c r="D3960" s="14" t="s">
        <v>422</v>
      </c>
    </row>
    <row r="3961" spans="1:4" ht="19.5" customHeight="1">
      <c r="A3961" s="8"/>
      <c r="B3961" s="24" t="s">
        <v>420</v>
      </c>
      <c r="C3961" s="30" t="s">
        <v>2769</v>
      </c>
      <c r="D3961" s="14" t="s">
        <v>422</v>
      </c>
    </row>
    <row r="3962" spans="1:4" ht="19.5" customHeight="1">
      <c r="A3962" s="8"/>
      <c r="B3962" s="24" t="s">
        <v>2679</v>
      </c>
      <c r="C3962" s="34" t="s">
        <v>2608</v>
      </c>
      <c r="D3962" s="14" t="s">
        <v>462</v>
      </c>
    </row>
    <row r="3963" spans="1:4" ht="19.5" customHeight="1">
      <c r="A3963" s="8"/>
      <c r="B3963" s="38" t="s">
        <v>2773</v>
      </c>
      <c r="C3963" s="34" t="s">
        <v>2608</v>
      </c>
      <c r="D3963" s="14" t="s">
        <v>434</v>
      </c>
    </row>
    <row r="3964" spans="1:4" ht="19.5" customHeight="1">
      <c r="A3964" s="8"/>
      <c r="B3964" s="24" t="s">
        <v>2685</v>
      </c>
      <c r="C3964" s="34" t="s">
        <v>2608</v>
      </c>
      <c r="D3964" s="14" t="s">
        <v>438</v>
      </c>
    </row>
    <row r="3965" spans="1:4" ht="19.5" customHeight="1">
      <c r="A3965" s="8"/>
      <c r="B3965" s="24" t="s">
        <v>2771</v>
      </c>
      <c r="C3965" s="34" t="s">
        <v>2608</v>
      </c>
      <c r="D3965" s="14" t="s">
        <v>2741</v>
      </c>
    </row>
    <row r="3966" spans="1:4" ht="19.5" customHeight="1">
      <c r="A3966" s="8"/>
      <c r="B3966" s="38" t="s">
        <v>2772</v>
      </c>
      <c r="C3966" s="36">
        <v>4</v>
      </c>
      <c r="D3966" s="14" t="s">
        <v>2377</v>
      </c>
    </row>
    <row r="3967" spans="1:4" ht="19.5" customHeight="1">
      <c r="A3967" s="8"/>
      <c r="B3967" s="38" t="s">
        <v>2744</v>
      </c>
      <c r="C3967" s="36">
        <v>1</v>
      </c>
      <c r="D3967" s="14" t="s">
        <v>2293</v>
      </c>
    </row>
    <row r="3968" spans="1:4" ht="19.5" customHeight="1">
      <c r="A3968" s="8"/>
      <c r="B3968" s="38" t="s">
        <v>2748</v>
      </c>
      <c r="C3968" s="36">
        <v>2</v>
      </c>
      <c r="D3968" s="14" t="s">
        <v>1117</v>
      </c>
    </row>
    <row r="3969" spans="1:4" ht="19.5" customHeight="1">
      <c r="A3969" s="8"/>
      <c r="B3969" s="38" t="s">
        <v>2747</v>
      </c>
      <c r="C3969" s="36">
        <v>1</v>
      </c>
      <c r="D3969" s="14" t="s">
        <v>2595</v>
      </c>
    </row>
    <row r="3970" spans="1:4" ht="19.5" customHeight="1">
      <c r="A3970" s="8"/>
      <c r="B3970" s="38" t="s">
        <v>2749</v>
      </c>
      <c r="C3970" s="36">
        <v>2</v>
      </c>
      <c r="D3970" s="14" t="s">
        <v>1119</v>
      </c>
    </row>
    <row r="3971" spans="1:4" ht="19.5" customHeight="1">
      <c r="A3971" s="8"/>
      <c r="B3971" s="38" t="s">
        <v>2687</v>
      </c>
      <c r="C3971" s="36">
        <v>2</v>
      </c>
      <c r="D3971" s="14" t="s">
        <v>1103</v>
      </c>
    </row>
    <row r="3972" spans="1:4" ht="19.5" customHeight="1">
      <c r="A3972" s="8"/>
      <c r="B3972" s="39" t="s">
        <v>2676</v>
      </c>
      <c r="C3972" s="32">
        <v>1</v>
      </c>
      <c r="D3972" s="14" t="s">
        <v>530</v>
      </c>
    </row>
    <row r="3973" spans="1:4" ht="19.5" customHeight="1">
      <c r="A3973" s="8" t="s">
        <v>1727</v>
      </c>
      <c r="B3973" s="37" t="s">
        <v>2768</v>
      </c>
      <c r="C3973" s="34" t="s">
        <v>2608</v>
      </c>
      <c r="D3973" s="14" t="s">
        <v>428</v>
      </c>
    </row>
    <row r="3974" spans="1:4" ht="19.5" customHeight="1">
      <c r="A3974" s="8"/>
      <c r="B3974" s="24" t="s">
        <v>420</v>
      </c>
      <c r="C3974" s="30" t="s">
        <v>2609</v>
      </c>
      <c r="D3974" s="14" t="s">
        <v>422</v>
      </c>
    </row>
    <row r="3975" spans="1:4" ht="17.25" customHeight="1">
      <c r="A3975" s="8"/>
      <c r="B3975" s="24" t="s">
        <v>420</v>
      </c>
      <c r="C3975" s="30" t="s">
        <v>2608</v>
      </c>
      <c r="D3975" s="14" t="s">
        <v>422</v>
      </c>
    </row>
    <row r="3976" spans="1:4" ht="16.5" customHeight="1">
      <c r="A3976" s="8"/>
      <c r="B3976" s="24" t="s">
        <v>420</v>
      </c>
      <c r="C3976" s="30" t="s">
        <v>2769</v>
      </c>
      <c r="D3976" s="14" t="s">
        <v>422</v>
      </c>
    </row>
    <row r="3977" spans="1:4" ht="19.5" customHeight="1">
      <c r="A3977" s="8"/>
      <c r="B3977" s="38" t="s">
        <v>2770</v>
      </c>
      <c r="C3977" s="34" t="s">
        <v>2608</v>
      </c>
      <c r="D3977" s="14" t="s">
        <v>432</v>
      </c>
    </row>
    <row r="3978" spans="1:4" ht="19.5" customHeight="1">
      <c r="A3978" s="8"/>
      <c r="B3978" s="24" t="s">
        <v>2771</v>
      </c>
      <c r="C3978" s="34" t="s">
        <v>2608</v>
      </c>
      <c r="D3978" s="14" t="s">
        <v>2741</v>
      </c>
    </row>
    <row r="3979" spans="1:4" ht="19.5" customHeight="1">
      <c r="A3979" s="8"/>
      <c r="B3979" s="38" t="s">
        <v>2772</v>
      </c>
      <c r="C3979" s="36">
        <v>2</v>
      </c>
      <c r="D3979" s="14" t="s">
        <v>2377</v>
      </c>
    </row>
    <row r="3980" spans="1:4" ht="19.5" customHeight="1">
      <c r="A3980" s="8"/>
      <c r="B3980" s="38" t="s">
        <v>2691</v>
      </c>
      <c r="C3980" s="36">
        <v>1</v>
      </c>
      <c r="D3980" s="14" t="s">
        <v>2284</v>
      </c>
    </row>
    <row r="3981" spans="1:4" ht="19.5" customHeight="1">
      <c r="A3981" s="8"/>
      <c r="B3981" s="38" t="s">
        <v>2692</v>
      </c>
      <c r="C3981" s="36">
        <v>1</v>
      </c>
      <c r="D3981" s="14" t="s">
        <v>1125</v>
      </c>
    </row>
    <row r="3982" spans="1:4" ht="19.5" customHeight="1">
      <c r="A3982" s="8"/>
      <c r="B3982" s="38" t="s">
        <v>2675</v>
      </c>
      <c r="C3982" s="36">
        <v>2</v>
      </c>
      <c r="D3982" s="14" t="s">
        <v>1105</v>
      </c>
    </row>
    <row r="3983" spans="1:4" ht="15" customHeight="1">
      <c r="A3983" s="8"/>
      <c r="B3983" s="39" t="s">
        <v>2676</v>
      </c>
      <c r="C3983" s="32">
        <v>1</v>
      </c>
      <c r="D3983" s="14" t="s">
        <v>530</v>
      </c>
    </row>
    <row r="3984" spans="1:4" ht="15" customHeight="1">
      <c r="A3984" s="35"/>
      <c r="B3984" s="38"/>
      <c r="C3984" s="36"/>
      <c r="D3984" s="14"/>
    </row>
    <row r="3985" spans="1:4" ht="15" customHeight="1">
      <c r="A3985" s="35"/>
      <c r="B3985" s="38"/>
      <c r="C3985" s="36"/>
      <c r="D3985" s="14"/>
    </row>
    <row r="3986" spans="1:4" ht="15" customHeight="1">
      <c r="A3986" s="8" t="s">
        <v>1729</v>
      </c>
      <c r="B3986" s="37" t="s">
        <v>2768</v>
      </c>
      <c r="C3986" s="34" t="s">
        <v>2608</v>
      </c>
      <c r="D3986" s="14" t="s">
        <v>428</v>
      </c>
    </row>
    <row r="3987" spans="1:4" ht="15" customHeight="1">
      <c r="A3987" s="8"/>
      <c r="B3987" s="24" t="s">
        <v>420</v>
      </c>
      <c r="C3987" s="30" t="s">
        <v>2609</v>
      </c>
      <c r="D3987" s="14" t="s">
        <v>422</v>
      </c>
    </row>
    <row r="3988" spans="1:4" ht="15" customHeight="1">
      <c r="A3988" s="8"/>
      <c r="B3988" s="24" t="s">
        <v>420</v>
      </c>
      <c r="C3988" s="30" t="s">
        <v>2608</v>
      </c>
      <c r="D3988" s="14" t="s">
        <v>422</v>
      </c>
    </row>
    <row r="3989" spans="1:4" ht="15" customHeight="1">
      <c r="A3989" s="8"/>
      <c r="B3989" s="24" t="s">
        <v>420</v>
      </c>
      <c r="C3989" s="30" t="s">
        <v>2769</v>
      </c>
      <c r="D3989" s="14" t="s">
        <v>422</v>
      </c>
    </row>
    <row r="3990" spans="1:4" ht="15" customHeight="1">
      <c r="A3990" s="8"/>
      <c r="B3990" s="38" t="s">
        <v>2770</v>
      </c>
      <c r="C3990" s="34" t="s">
        <v>2608</v>
      </c>
      <c r="D3990" s="14" t="s">
        <v>432</v>
      </c>
    </row>
    <row r="3991" spans="1:4" ht="15" customHeight="1">
      <c r="A3991" s="8"/>
      <c r="B3991" s="24" t="s">
        <v>2771</v>
      </c>
      <c r="C3991" s="34" t="s">
        <v>2608</v>
      </c>
      <c r="D3991" s="14" t="s">
        <v>2741</v>
      </c>
    </row>
    <row r="3992" spans="1:4" ht="15" customHeight="1">
      <c r="A3992" s="8"/>
      <c r="B3992" s="38" t="s">
        <v>2772</v>
      </c>
      <c r="C3992" s="36">
        <v>4</v>
      </c>
      <c r="D3992" s="14" t="s">
        <v>2377</v>
      </c>
    </row>
    <row r="3993" spans="1:4" ht="15" customHeight="1">
      <c r="A3993" s="8"/>
      <c r="B3993" s="38" t="s">
        <v>2691</v>
      </c>
      <c r="C3993" s="36">
        <v>2</v>
      </c>
      <c r="D3993" s="14" t="s">
        <v>2284</v>
      </c>
    </row>
    <row r="3994" spans="1:4" ht="15" customHeight="1">
      <c r="A3994" s="8"/>
      <c r="B3994" s="38" t="s">
        <v>2692</v>
      </c>
      <c r="C3994" s="36">
        <v>2</v>
      </c>
      <c r="D3994" s="14" t="s">
        <v>1125</v>
      </c>
    </row>
    <row r="3995" spans="1:4" ht="15" customHeight="1">
      <c r="A3995" s="8"/>
      <c r="B3995" s="38" t="s">
        <v>2675</v>
      </c>
      <c r="C3995" s="36">
        <v>4</v>
      </c>
      <c r="D3995" s="14" t="s">
        <v>1105</v>
      </c>
    </row>
    <row r="3996" spans="1:4" ht="15" customHeight="1">
      <c r="A3996" s="8"/>
      <c r="B3996" s="39" t="s">
        <v>2676</v>
      </c>
      <c r="C3996" s="32">
        <v>2</v>
      </c>
      <c r="D3996" s="14" t="s">
        <v>530</v>
      </c>
    </row>
    <row r="3997" spans="1:4" ht="15" customHeight="1">
      <c r="A3997" s="35"/>
      <c r="B3997" s="38"/>
      <c r="C3997" s="36"/>
      <c r="D3997" s="14"/>
    </row>
    <row r="3998" spans="1:4" ht="15" customHeight="1">
      <c r="A3998" s="35"/>
      <c r="B3998" s="38"/>
      <c r="C3998" s="36"/>
      <c r="D3998" s="14"/>
    </row>
    <row r="3999" spans="1:4" ht="15" customHeight="1">
      <c r="A3999" s="35"/>
      <c r="B3999" s="38"/>
      <c r="C3999" s="36"/>
      <c r="D3999" s="14"/>
    </row>
    <row r="4000" spans="1:4" ht="15" customHeight="1">
      <c r="A4000" s="35"/>
      <c r="B4000" s="38"/>
      <c r="C4000" s="36"/>
      <c r="D4000" s="14"/>
    </row>
    <row r="4001" spans="1:4" ht="15" customHeight="1">
      <c r="A4001" s="8" t="s">
        <v>1731</v>
      </c>
      <c r="B4001" s="37" t="s">
        <v>2768</v>
      </c>
      <c r="C4001" s="34" t="s">
        <v>2608</v>
      </c>
      <c r="D4001" s="14" t="s">
        <v>428</v>
      </c>
    </row>
    <row r="4002" spans="1:4" ht="19.5" customHeight="1">
      <c r="A4002" s="8"/>
      <c r="B4002" s="24" t="s">
        <v>420</v>
      </c>
      <c r="C4002" s="30" t="s">
        <v>2609</v>
      </c>
      <c r="D4002" s="14" t="s">
        <v>422</v>
      </c>
    </row>
    <row r="4003" spans="1:4" ht="15" customHeight="1">
      <c r="A4003" s="8"/>
      <c r="B4003" s="24" t="s">
        <v>420</v>
      </c>
      <c r="C4003" s="30" t="s">
        <v>2609</v>
      </c>
      <c r="D4003" s="14" t="s">
        <v>422</v>
      </c>
    </row>
    <row r="4004" spans="1:4" ht="15" customHeight="1">
      <c r="A4004" s="8"/>
      <c r="B4004" s="24" t="s">
        <v>420</v>
      </c>
      <c r="C4004" s="30" t="s">
        <v>2609</v>
      </c>
      <c r="D4004" s="14" t="s">
        <v>422</v>
      </c>
    </row>
    <row r="4005" spans="1:4" ht="15" customHeight="1">
      <c r="A4005" s="8"/>
      <c r="B4005" s="24" t="s">
        <v>420</v>
      </c>
      <c r="C4005" s="30" t="s">
        <v>2769</v>
      </c>
      <c r="D4005" s="14" t="s">
        <v>422</v>
      </c>
    </row>
    <row r="4006" spans="1:4" ht="15" customHeight="1">
      <c r="A4006" s="8"/>
      <c r="B4006" s="24" t="s">
        <v>2774</v>
      </c>
      <c r="C4006" s="34" t="s">
        <v>2608</v>
      </c>
      <c r="D4006" s="14" t="s">
        <v>436</v>
      </c>
    </row>
    <row r="4007" spans="1:4" ht="15" customHeight="1">
      <c r="A4007" s="8"/>
      <c r="B4007" s="38" t="s">
        <v>2770</v>
      </c>
      <c r="C4007" s="34" t="s">
        <v>2608</v>
      </c>
      <c r="D4007" s="14" t="s">
        <v>432</v>
      </c>
    </row>
    <row r="4008" spans="1:4" ht="15" customHeight="1">
      <c r="A4008" s="8"/>
      <c r="B4008" s="24" t="s">
        <v>2771</v>
      </c>
      <c r="C4008" s="34" t="s">
        <v>2608</v>
      </c>
      <c r="D4008" s="14" t="s">
        <v>2741</v>
      </c>
    </row>
    <row r="4009" spans="1:4" ht="15" customHeight="1">
      <c r="A4009" s="8"/>
      <c r="B4009" s="38" t="s">
        <v>2772</v>
      </c>
      <c r="C4009" s="36">
        <v>2</v>
      </c>
      <c r="D4009" s="14" t="s">
        <v>2377</v>
      </c>
    </row>
    <row r="4010" spans="1:4" ht="15" customHeight="1">
      <c r="A4010" s="8"/>
      <c r="B4010" s="38" t="s">
        <v>2695</v>
      </c>
      <c r="C4010" s="36">
        <v>1</v>
      </c>
      <c r="D4010" s="14" t="s">
        <v>1111</v>
      </c>
    </row>
    <row r="4011" spans="1:4" ht="15" customHeight="1">
      <c r="A4011" s="8"/>
      <c r="B4011" s="38" t="s">
        <v>2691</v>
      </c>
      <c r="C4011" s="36">
        <v>1</v>
      </c>
      <c r="D4011" s="14" t="s">
        <v>2284</v>
      </c>
    </row>
    <row r="4012" spans="1:4" ht="15" customHeight="1">
      <c r="A4012" s="8"/>
      <c r="B4012" s="38" t="s">
        <v>2692</v>
      </c>
      <c r="C4012" s="36">
        <v>1</v>
      </c>
      <c r="D4012" s="14" t="s">
        <v>1125</v>
      </c>
    </row>
    <row r="4013" spans="1:4" ht="15" customHeight="1">
      <c r="A4013" s="8"/>
      <c r="B4013" s="38" t="s">
        <v>2675</v>
      </c>
      <c r="C4013" s="36">
        <v>2</v>
      </c>
      <c r="D4013" s="14" t="s">
        <v>1105</v>
      </c>
    </row>
    <row r="4014" spans="1:4" ht="15" customHeight="1">
      <c r="A4014" s="8"/>
      <c r="B4014" s="39" t="s">
        <v>2676</v>
      </c>
      <c r="C4014" s="32">
        <v>1</v>
      </c>
      <c r="D4014" s="14" t="s">
        <v>530</v>
      </c>
    </row>
    <row r="4015" spans="1:4" ht="15" customHeight="1">
      <c r="A4015" s="35"/>
      <c r="B4015" s="38"/>
      <c r="C4015" s="36"/>
      <c r="D4015" s="14"/>
    </row>
    <row r="4016" spans="1:4" ht="15" customHeight="1">
      <c r="A4016" s="8" t="s">
        <v>1733</v>
      </c>
      <c r="B4016" s="37" t="s">
        <v>2768</v>
      </c>
      <c r="C4016" s="34" t="s">
        <v>2608</v>
      </c>
      <c r="D4016" s="14" t="s">
        <v>428</v>
      </c>
    </row>
    <row r="4017" spans="1:4" ht="15" customHeight="1">
      <c r="A4017" s="8"/>
      <c r="B4017" s="24" t="s">
        <v>420</v>
      </c>
      <c r="C4017" s="30" t="s">
        <v>2609</v>
      </c>
      <c r="D4017" s="14" t="s">
        <v>422</v>
      </c>
    </row>
    <row r="4018" spans="1:4" ht="19.5" customHeight="1">
      <c r="A4018" s="8"/>
      <c r="B4018" s="24" t="s">
        <v>420</v>
      </c>
      <c r="C4018" s="30" t="s">
        <v>2609</v>
      </c>
      <c r="D4018" s="14" t="s">
        <v>422</v>
      </c>
    </row>
    <row r="4019" spans="1:4" ht="15" customHeight="1">
      <c r="A4019" s="8"/>
      <c r="B4019" s="24" t="s">
        <v>420</v>
      </c>
      <c r="C4019" s="30" t="s">
        <v>2609</v>
      </c>
      <c r="D4019" s="14" t="s">
        <v>422</v>
      </c>
    </row>
    <row r="4020" spans="1:4" ht="15" customHeight="1">
      <c r="A4020" s="8"/>
      <c r="B4020" s="24" t="s">
        <v>420</v>
      </c>
      <c r="C4020" s="30" t="s">
        <v>2769</v>
      </c>
      <c r="D4020" s="14" t="s">
        <v>422</v>
      </c>
    </row>
    <row r="4021" spans="1:4" ht="15" customHeight="1">
      <c r="A4021" s="8"/>
      <c r="B4021" s="24" t="s">
        <v>2774</v>
      </c>
      <c r="C4021" s="34" t="s">
        <v>2608</v>
      </c>
      <c r="D4021" s="14" t="s">
        <v>436</v>
      </c>
    </row>
    <row r="4022" spans="1:4" ht="15" customHeight="1">
      <c r="A4022" s="8"/>
      <c r="B4022" s="38" t="s">
        <v>2770</v>
      </c>
      <c r="C4022" s="34" t="s">
        <v>2608</v>
      </c>
      <c r="D4022" s="14" t="s">
        <v>432</v>
      </c>
    </row>
    <row r="4023" spans="1:4" ht="15" customHeight="1">
      <c r="A4023" s="8"/>
      <c r="B4023" s="24" t="s">
        <v>2771</v>
      </c>
      <c r="C4023" s="34" t="s">
        <v>2608</v>
      </c>
      <c r="D4023" s="14" t="s">
        <v>2741</v>
      </c>
    </row>
    <row r="4024" spans="1:4" ht="15" customHeight="1">
      <c r="A4024" s="8"/>
      <c r="B4024" s="38" t="s">
        <v>2772</v>
      </c>
      <c r="C4024" s="36">
        <v>2</v>
      </c>
      <c r="D4024" s="14" t="s">
        <v>2377</v>
      </c>
    </row>
    <row r="4025" spans="1:4" ht="19.5" customHeight="1">
      <c r="A4025" s="8"/>
      <c r="B4025" s="38" t="s">
        <v>2695</v>
      </c>
      <c r="C4025" s="36">
        <v>2</v>
      </c>
      <c r="D4025" s="14" t="s">
        <v>1111</v>
      </c>
    </row>
    <row r="4026" spans="1:4" ht="15" customHeight="1">
      <c r="A4026" s="8"/>
      <c r="B4026" s="38" t="s">
        <v>2691</v>
      </c>
      <c r="C4026" s="36">
        <v>1</v>
      </c>
      <c r="D4026" s="14" t="s">
        <v>2284</v>
      </c>
    </row>
    <row r="4027" spans="1:4" ht="19.5" customHeight="1">
      <c r="A4027" s="8"/>
      <c r="B4027" s="38" t="s">
        <v>2692</v>
      </c>
      <c r="C4027" s="36">
        <v>1</v>
      </c>
      <c r="D4027" s="14" t="s">
        <v>1125</v>
      </c>
    </row>
    <row r="4028" spans="1:4" ht="19.5" customHeight="1">
      <c r="A4028" s="8"/>
      <c r="B4028" s="38" t="s">
        <v>2675</v>
      </c>
      <c r="C4028" s="36">
        <v>2</v>
      </c>
      <c r="D4028" s="14" t="s">
        <v>1105</v>
      </c>
    </row>
    <row r="4029" spans="1:4" ht="19.5" customHeight="1">
      <c r="A4029" s="8"/>
      <c r="B4029" s="39" t="s">
        <v>2676</v>
      </c>
      <c r="C4029" s="32">
        <v>1</v>
      </c>
      <c r="D4029" s="14" t="s">
        <v>530</v>
      </c>
    </row>
    <row r="4030" spans="1:4" ht="19.5" customHeight="1">
      <c r="A4030" s="8" t="s">
        <v>1735</v>
      </c>
      <c r="B4030" s="37" t="s">
        <v>2768</v>
      </c>
      <c r="C4030" s="34" t="s">
        <v>2608</v>
      </c>
      <c r="D4030" s="14" t="s">
        <v>428</v>
      </c>
    </row>
    <row r="4031" spans="1:4" ht="19.5" customHeight="1">
      <c r="A4031" s="8"/>
      <c r="B4031" s="24" t="s">
        <v>420</v>
      </c>
      <c r="C4031" s="30" t="s">
        <v>2609</v>
      </c>
      <c r="D4031" s="14" t="s">
        <v>422</v>
      </c>
    </row>
    <row r="4032" spans="1:4" ht="19.5" customHeight="1">
      <c r="A4032" s="8"/>
      <c r="B4032" s="24" t="s">
        <v>420</v>
      </c>
      <c r="C4032" s="30" t="s">
        <v>2609</v>
      </c>
      <c r="D4032" s="14" t="s">
        <v>422</v>
      </c>
    </row>
    <row r="4033" spans="1:4" ht="19.5" customHeight="1">
      <c r="A4033" s="8"/>
      <c r="B4033" s="24" t="s">
        <v>420</v>
      </c>
      <c r="C4033" s="30" t="s">
        <v>2769</v>
      </c>
      <c r="D4033" s="14" t="s">
        <v>422</v>
      </c>
    </row>
    <row r="4034" spans="1:4" ht="19.5" customHeight="1">
      <c r="A4034" s="8"/>
      <c r="B4034" s="24" t="s">
        <v>420</v>
      </c>
      <c r="C4034" s="30" t="s">
        <v>2609</v>
      </c>
      <c r="D4034" s="14" t="s">
        <v>422</v>
      </c>
    </row>
    <row r="4035" spans="1:4" ht="19.5" customHeight="1">
      <c r="A4035" s="8"/>
      <c r="B4035" s="24" t="s">
        <v>2774</v>
      </c>
      <c r="C4035" s="34" t="s">
        <v>2608</v>
      </c>
      <c r="D4035" s="14" t="s">
        <v>436</v>
      </c>
    </row>
    <row r="4036" spans="1:4" ht="19.5" customHeight="1">
      <c r="A4036" s="8"/>
      <c r="B4036" s="38" t="s">
        <v>2770</v>
      </c>
      <c r="C4036" s="34" t="s">
        <v>2608</v>
      </c>
      <c r="D4036" s="14" t="s">
        <v>432</v>
      </c>
    </row>
    <row r="4037" spans="1:4" ht="15" customHeight="1">
      <c r="A4037" s="8"/>
      <c r="B4037" s="24" t="s">
        <v>2771</v>
      </c>
      <c r="C4037" s="34" t="s">
        <v>2608</v>
      </c>
      <c r="D4037" s="14" t="s">
        <v>2741</v>
      </c>
    </row>
    <row r="4038" spans="1:4" ht="15" customHeight="1">
      <c r="A4038" s="8"/>
      <c r="B4038" s="38" t="s">
        <v>2772</v>
      </c>
      <c r="C4038" s="36">
        <v>2</v>
      </c>
      <c r="D4038" s="14" t="s">
        <v>2377</v>
      </c>
    </row>
    <row r="4039" spans="1:4" ht="15" customHeight="1">
      <c r="A4039" s="8"/>
      <c r="B4039" s="38" t="s">
        <v>2695</v>
      </c>
      <c r="C4039" s="36">
        <v>3</v>
      </c>
      <c r="D4039" s="14" t="s">
        <v>1111</v>
      </c>
    </row>
    <row r="4040" spans="1:4" ht="19.5" customHeight="1">
      <c r="A4040" s="8"/>
      <c r="B4040" s="38" t="s">
        <v>2691</v>
      </c>
      <c r="C4040" s="36">
        <v>1</v>
      </c>
      <c r="D4040" s="14" t="s">
        <v>2284</v>
      </c>
    </row>
    <row r="4041" spans="1:4" ht="15" customHeight="1">
      <c r="A4041" s="8"/>
      <c r="B4041" s="38" t="s">
        <v>2692</v>
      </c>
      <c r="C4041" s="36">
        <v>1</v>
      </c>
      <c r="D4041" s="14" t="s">
        <v>1125</v>
      </c>
    </row>
    <row r="4042" spans="1:4" ht="15" customHeight="1">
      <c r="A4042" s="8"/>
      <c r="B4042" s="38" t="s">
        <v>2675</v>
      </c>
      <c r="C4042" s="36">
        <v>2</v>
      </c>
      <c r="D4042" s="14" t="s">
        <v>1105</v>
      </c>
    </row>
    <row r="4043" spans="1:4" ht="15" customHeight="1">
      <c r="A4043" s="8"/>
      <c r="B4043" s="39" t="s">
        <v>2676</v>
      </c>
      <c r="C4043" s="32">
        <v>1</v>
      </c>
      <c r="D4043" s="14" t="s">
        <v>530</v>
      </c>
    </row>
    <row r="4044" spans="1:4" ht="15" customHeight="1">
      <c r="A4044" s="8" t="s">
        <v>1737</v>
      </c>
      <c r="B4044" s="37" t="s">
        <v>2768</v>
      </c>
      <c r="C4044" s="34" t="s">
        <v>2608</v>
      </c>
      <c r="D4044" s="14" t="s">
        <v>428</v>
      </c>
    </row>
    <row r="4045" spans="1:4" ht="15" customHeight="1">
      <c r="A4045" s="8"/>
      <c r="B4045" s="24" t="s">
        <v>420</v>
      </c>
      <c r="C4045" s="30" t="s">
        <v>2609</v>
      </c>
      <c r="D4045" s="14" t="s">
        <v>422</v>
      </c>
    </row>
    <row r="4046" spans="1:4" ht="15" customHeight="1">
      <c r="A4046" s="8"/>
      <c r="B4046" s="24" t="s">
        <v>2771</v>
      </c>
      <c r="C4046" s="34" t="s">
        <v>2608</v>
      </c>
      <c r="D4046" s="14" t="s">
        <v>2741</v>
      </c>
    </row>
    <row r="4047" spans="1:4" ht="15" customHeight="1">
      <c r="A4047" s="35"/>
      <c r="B4047" s="24"/>
      <c r="C4047" s="34"/>
      <c r="D4047" s="14"/>
    </row>
    <row r="4048" spans="1:4" ht="19.5" customHeight="1">
      <c r="A4048" s="8" t="s">
        <v>1739</v>
      </c>
      <c r="B4048" s="37" t="s">
        <v>2768</v>
      </c>
      <c r="C4048" s="34" t="s">
        <v>2608</v>
      </c>
      <c r="D4048" s="14" t="s">
        <v>428</v>
      </c>
    </row>
    <row r="4049" spans="1:4" ht="19.5" customHeight="1">
      <c r="A4049" s="8"/>
      <c r="B4049" s="24" t="s">
        <v>420</v>
      </c>
      <c r="C4049" s="30" t="s">
        <v>2609</v>
      </c>
      <c r="D4049" s="14" t="s">
        <v>422</v>
      </c>
    </row>
    <row r="4050" spans="1:4" ht="19.5" customHeight="1">
      <c r="A4050" s="8"/>
      <c r="B4050" s="24" t="s">
        <v>420</v>
      </c>
      <c r="C4050" s="30" t="s">
        <v>2609</v>
      </c>
      <c r="D4050" s="14" t="s">
        <v>422</v>
      </c>
    </row>
    <row r="4051" spans="1:4" ht="19.5" customHeight="1">
      <c r="A4051" s="8"/>
      <c r="B4051" s="24" t="s">
        <v>420</v>
      </c>
      <c r="C4051" s="30" t="s">
        <v>2769</v>
      </c>
      <c r="D4051" s="14" t="s">
        <v>422</v>
      </c>
    </row>
    <row r="4052" spans="1:4" ht="19.5" customHeight="1">
      <c r="A4052" s="8"/>
      <c r="B4052" s="24" t="s">
        <v>420</v>
      </c>
      <c r="C4052" s="30" t="s">
        <v>2609</v>
      </c>
      <c r="D4052" s="14" t="s">
        <v>422</v>
      </c>
    </row>
    <row r="4053" spans="1:4" ht="19.5" customHeight="1">
      <c r="A4053" s="8"/>
      <c r="B4053" s="24" t="s">
        <v>2774</v>
      </c>
      <c r="C4053" s="34" t="s">
        <v>2608</v>
      </c>
      <c r="D4053" s="14" t="s">
        <v>436</v>
      </c>
    </row>
    <row r="4054" spans="1:4" ht="19.5" customHeight="1">
      <c r="A4054" s="8"/>
      <c r="B4054" s="38" t="s">
        <v>2770</v>
      </c>
      <c r="C4054" s="34" t="s">
        <v>2608</v>
      </c>
      <c r="D4054" s="14" t="s">
        <v>432</v>
      </c>
    </row>
    <row r="4055" spans="1:4" ht="19.5" customHeight="1">
      <c r="A4055" s="8"/>
      <c r="B4055" s="24" t="s">
        <v>2771</v>
      </c>
      <c r="C4055" s="34" t="s">
        <v>2608</v>
      </c>
      <c r="D4055" s="14" t="s">
        <v>2741</v>
      </c>
    </row>
    <row r="4056" spans="1:4" ht="19.5" customHeight="1">
      <c r="A4056" s="8"/>
      <c r="B4056" s="38" t="s">
        <v>2772</v>
      </c>
      <c r="C4056" s="36">
        <v>4</v>
      </c>
      <c r="D4056" s="14" t="s">
        <v>2377</v>
      </c>
    </row>
    <row r="4057" spans="1:4" ht="19.5" customHeight="1">
      <c r="A4057" s="8"/>
      <c r="B4057" s="38" t="s">
        <v>2695</v>
      </c>
      <c r="C4057" s="36">
        <v>1</v>
      </c>
      <c r="D4057" s="14" t="s">
        <v>1111</v>
      </c>
    </row>
    <row r="4058" spans="1:4" ht="15" customHeight="1">
      <c r="A4058" s="8"/>
      <c r="B4058" s="38" t="s">
        <v>2617</v>
      </c>
      <c r="C4058" s="36">
        <v>1</v>
      </c>
      <c r="D4058" s="14" t="s">
        <v>2293</v>
      </c>
    </row>
    <row r="4059" spans="1:4" ht="19.5" customHeight="1">
      <c r="A4059" s="8"/>
      <c r="B4059" s="38" t="s">
        <v>2675</v>
      </c>
      <c r="C4059" s="36">
        <v>4</v>
      </c>
      <c r="D4059" s="14" t="s">
        <v>1105</v>
      </c>
    </row>
    <row r="4060" spans="1:4" ht="19.5" customHeight="1">
      <c r="A4060" s="8"/>
      <c r="B4060" s="39" t="s">
        <v>2698</v>
      </c>
      <c r="C4060" s="32">
        <v>1</v>
      </c>
      <c r="D4060" s="14" t="s">
        <v>540</v>
      </c>
    </row>
    <row r="4061" spans="1:4" ht="19.5" customHeight="1">
      <c r="A4061" s="8" t="s">
        <v>1741</v>
      </c>
      <c r="B4061" s="37" t="s">
        <v>2768</v>
      </c>
      <c r="C4061" s="34" t="s">
        <v>2608</v>
      </c>
      <c r="D4061" s="14" t="s">
        <v>428</v>
      </c>
    </row>
    <row r="4062" spans="1:4" ht="19.5" customHeight="1">
      <c r="A4062" s="8"/>
      <c r="B4062" s="24" t="s">
        <v>420</v>
      </c>
      <c r="C4062" s="30" t="s">
        <v>2609</v>
      </c>
      <c r="D4062" s="14" t="s">
        <v>422</v>
      </c>
    </row>
    <row r="4063" spans="1:4" ht="19.5" customHeight="1">
      <c r="A4063" s="8"/>
      <c r="B4063" s="24" t="s">
        <v>420</v>
      </c>
      <c r="C4063" s="30" t="s">
        <v>2609</v>
      </c>
      <c r="D4063" s="14" t="s">
        <v>422</v>
      </c>
    </row>
    <row r="4064" spans="1:4" ht="19.5" customHeight="1">
      <c r="A4064" s="8"/>
      <c r="B4064" s="24" t="s">
        <v>420</v>
      </c>
      <c r="C4064" s="30" t="s">
        <v>2609</v>
      </c>
      <c r="D4064" s="14" t="s">
        <v>422</v>
      </c>
    </row>
    <row r="4065" spans="1:4" ht="19.5" customHeight="1">
      <c r="A4065" s="8"/>
      <c r="B4065" s="24" t="s">
        <v>420</v>
      </c>
      <c r="C4065" s="30" t="s">
        <v>2769</v>
      </c>
      <c r="D4065" s="14" t="s">
        <v>422</v>
      </c>
    </row>
    <row r="4066" spans="1:4" ht="19.5" customHeight="1">
      <c r="A4066" s="8"/>
      <c r="B4066" s="24" t="s">
        <v>2774</v>
      </c>
      <c r="C4066" s="34" t="s">
        <v>2608</v>
      </c>
      <c r="D4066" s="14" t="s">
        <v>436</v>
      </c>
    </row>
    <row r="4067" spans="1:4" ht="15" customHeight="1">
      <c r="A4067" s="8"/>
      <c r="B4067" s="38" t="s">
        <v>2773</v>
      </c>
      <c r="C4067" s="34" t="s">
        <v>2608</v>
      </c>
      <c r="D4067" s="14" t="s">
        <v>434</v>
      </c>
    </row>
    <row r="4068" spans="1:4" ht="15" customHeight="1">
      <c r="A4068" s="8"/>
      <c r="B4068" s="24" t="s">
        <v>2771</v>
      </c>
      <c r="C4068" s="34" t="s">
        <v>2608</v>
      </c>
      <c r="D4068" s="14" t="s">
        <v>2741</v>
      </c>
    </row>
    <row r="4069" spans="1:4" ht="15" customHeight="1">
      <c r="A4069" s="8"/>
      <c r="B4069" s="38" t="s">
        <v>2772</v>
      </c>
      <c r="C4069" s="36">
        <v>4</v>
      </c>
      <c r="D4069" s="14" t="s">
        <v>2377</v>
      </c>
    </row>
    <row r="4070" spans="1:4" ht="15" customHeight="1">
      <c r="A4070" s="8"/>
      <c r="B4070" s="38" t="s">
        <v>2695</v>
      </c>
      <c r="C4070" s="36">
        <v>1</v>
      </c>
      <c r="D4070" s="14" t="s">
        <v>1111</v>
      </c>
    </row>
    <row r="4071" spans="1:4" ht="15" customHeight="1">
      <c r="A4071" s="8"/>
      <c r="B4071" s="38" t="s">
        <v>2617</v>
      </c>
      <c r="C4071" s="36">
        <v>1</v>
      </c>
      <c r="D4071" s="14" t="s">
        <v>2293</v>
      </c>
    </row>
    <row r="4072" spans="1:4" ht="15" customHeight="1">
      <c r="A4072" s="8"/>
      <c r="B4072" s="38" t="s">
        <v>2675</v>
      </c>
      <c r="C4072" s="36">
        <v>4</v>
      </c>
      <c r="D4072" s="14" t="s">
        <v>1105</v>
      </c>
    </row>
    <row r="4073" spans="1:4" ht="15" customHeight="1">
      <c r="A4073" s="8"/>
      <c r="B4073" s="39" t="s">
        <v>2698</v>
      </c>
      <c r="C4073" s="32">
        <v>1</v>
      </c>
      <c r="D4073" s="14" t="s">
        <v>540</v>
      </c>
    </row>
    <row r="4074" spans="1:4" ht="15" customHeight="1">
      <c r="A4074" s="35"/>
      <c r="B4074" s="38"/>
      <c r="C4074" s="36"/>
      <c r="D4074" s="14"/>
    </row>
    <row r="4075" spans="1:4" ht="19.5" customHeight="1">
      <c r="A4075" s="8" t="s">
        <v>1743</v>
      </c>
      <c r="B4075" s="37" t="s">
        <v>2768</v>
      </c>
      <c r="C4075" s="34" t="s">
        <v>2608</v>
      </c>
      <c r="D4075" s="14" t="s">
        <v>428</v>
      </c>
    </row>
    <row r="4076" spans="1:4" ht="15" customHeight="1">
      <c r="A4076" s="8"/>
      <c r="B4076" s="24" t="s">
        <v>420</v>
      </c>
      <c r="C4076" s="30" t="s">
        <v>2609</v>
      </c>
      <c r="D4076" s="14" t="s">
        <v>422</v>
      </c>
    </row>
    <row r="4077" spans="1:4" ht="15" customHeight="1">
      <c r="A4077" s="8"/>
      <c r="B4077" s="24" t="s">
        <v>420</v>
      </c>
      <c r="C4077" s="30" t="s">
        <v>2609</v>
      </c>
      <c r="D4077" s="14" t="s">
        <v>422</v>
      </c>
    </row>
    <row r="4078" spans="1:4" ht="15" customHeight="1">
      <c r="A4078" s="8"/>
      <c r="B4078" s="24" t="s">
        <v>420</v>
      </c>
      <c r="C4078" s="30" t="s">
        <v>2609</v>
      </c>
      <c r="D4078" s="14" t="s">
        <v>422</v>
      </c>
    </row>
    <row r="4079" spans="1:4" ht="15" customHeight="1">
      <c r="A4079" s="8"/>
      <c r="B4079" s="24" t="s">
        <v>420</v>
      </c>
      <c r="C4079" s="30" t="s">
        <v>2769</v>
      </c>
      <c r="D4079" s="14" t="s">
        <v>422</v>
      </c>
    </row>
    <row r="4080" spans="1:4" ht="15" customHeight="1">
      <c r="A4080" s="8"/>
      <c r="B4080" s="24" t="s">
        <v>420</v>
      </c>
      <c r="C4080" s="30" t="s">
        <v>2609</v>
      </c>
      <c r="D4080" s="14" t="s">
        <v>422</v>
      </c>
    </row>
    <row r="4081" spans="1:4" ht="15" customHeight="1">
      <c r="A4081" s="8"/>
      <c r="B4081" s="24" t="s">
        <v>2774</v>
      </c>
      <c r="C4081" s="34" t="s">
        <v>2608</v>
      </c>
      <c r="D4081" s="14" t="s">
        <v>436</v>
      </c>
    </row>
    <row r="4082" spans="1:4" ht="15" customHeight="1">
      <c r="A4082" s="8"/>
      <c r="B4082" s="38" t="s">
        <v>2770</v>
      </c>
      <c r="C4082" s="34" t="s">
        <v>2608</v>
      </c>
      <c r="D4082" s="14" t="s">
        <v>432</v>
      </c>
    </row>
    <row r="4083" spans="1:4" ht="15" customHeight="1">
      <c r="A4083" s="8"/>
      <c r="B4083" s="24" t="s">
        <v>2685</v>
      </c>
      <c r="C4083" s="34" t="s">
        <v>2608</v>
      </c>
      <c r="D4083" s="14" t="s">
        <v>438</v>
      </c>
    </row>
    <row r="4084" spans="1:4" ht="15" customHeight="1">
      <c r="A4084" s="8"/>
      <c r="B4084" s="24" t="s">
        <v>2771</v>
      </c>
      <c r="C4084" s="34" t="s">
        <v>2608</v>
      </c>
      <c r="D4084" s="14" t="s">
        <v>2741</v>
      </c>
    </row>
    <row r="4085" spans="1:4" ht="15" customHeight="1">
      <c r="A4085" s="8"/>
      <c r="B4085" s="38" t="s">
        <v>2772</v>
      </c>
      <c r="C4085" s="36">
        <v>8</v>
      </c>
      <c r="D4085" s="14" t="s">
        <v>2377</v>
      </c>
    </row>
    <row r="4086" spans="1:4" ht="15" customHeight="1">
      <c r="A4086" s="8"/>
      <c r="B4086" s="38" t="s">
        <v>2695</v>
      </c>
      <c r="C4086" s="36">
        <v>2</v>
      </c>
      <c r="D4086" s="14" t="s">
        <v>1111</v>
      </c>
    </row>
    <row r="4087" spans="1:4" ht="15" customHeight="1">
      <c r="A4087" s="8"/>
      <c r="B4087" s="38" t="s">
        <v>2747</v>
      </c>
      <c r="C4087" s="36">
        <v>1</v>
      </c>
      <c r="D4087" s="14" t="s">
        <v>2595</v>
      </c>
    </row>
    <row r="4088" spans="1:4" ht="15" customHeight="1">
      <c r="A4088" s="8"/>
      <c r="B4088" s="38" t="s">
        <v>2617</v>
      </c>
      <c r="C4088" s="36">
        <v>1</v>
      </c>
      <c r="D4088" s="14" t="s">
        <v>2293</v>
      </c>
    </row>
    <row r="4089" spans="1:4" ht="15" customHeight="1">
      <c r="A4089" s="8"/>
      <c r="B4089" s="38" t="s">
        <v>2748</v>
      </c>
      <c r="C4089" s="36">
        <v>2</v>
      </c>
      <c r="D4089" s="14" t="s">
        <v>1117</v>
      </c>
    </row>
    <row r="4090" spans="1:4" ht="15" customHeight="1">
      <c r="A4090" s="8"/>
      <c r="B4090" s="38" t="s">
        <v>2749</v>
      </c>
      <c r="C4090" s="36">
        <v>2</v>
      </c>
      <c r="D4090" s="14" t="s">
        <v>1119</v>
      </c>
    </row>
    <row r="4091" spans="1:4" ht="15" customHeight="1">
      <c r="A4091" s="8"/>
      <c r="B4091" s="38" t="s">
        <v>2687</v>
      </c>
      <c r="C4091" s="36">
        <v>4</v>
      </c>
      <c r="D4091" s="14" t="s">
        <v>1103</v>
      </c>
    </row>
    <row r="4092" spans="1:4" ht="19.5" customHeight="1">
      <c r="A4092" s="8"/>
      <c r="B4092" s="39" t="s">
        <v>2698</v>
      </c>
      <c r="C4092" s="32">
        <v>1</v>
      </c>
      <c r="D4092" s="14" t="s">
        <v>540</v>
      </c>
    </row>
    <row r="4093" spans="1:4" ht="19.5" customHeight="1">
      <c r="A4093" s="8" t="s">
        <v>1745</v>
      </c>
      <c r="B4093" s="37" t="s">
        <v>2768</v>
      </c>
      <c r="C4093" s="34" t="s">
        <v>2608</v>
      </c>
      <c r="D4093" s="14" t="s">
        <v>428</v>
      </c>
    </row>
    <row r="4094" spans="1:4" ht="19.5" customHeight="1">
      <c r="A4094" s="8"/>
      <c r="B4094" s="24" t="s">
        <v>420</v>
      </c>
      <c r="C4094" s="30" t="s">
        <v>2609</v>
      </c>
      <c r="D4094" s="14" t="s">
        <v>422</v>
      </c>
    </row>
    <row r="4095" spans="1:4" ht="19.5" customHeight="1">
      <c r="A4095" s="8"/>
      <c r="B4095" s="24" t="s">
        <v>420</v>
      </c>
      <c r="C4095" s="30" t="s">
        <v>2609</v>
      </c>
      <c r="D4095" s="14" t="s">
        <v>422</v>
      </c>
    </row>
    <row r="4096" spans="1:4" ht="19.5" customHeight="1">
      <c r="A4096" s="8"/>
      <c r="B4096" s="24" t="s">
        <v>420</v>
      </c>
      <c r="C4096" s="30" t="s">
        <v>2609</v>
      </c>
      <c r="D4096" s="14" t="s">
        <v>422</v>
      </c>
    </row>
    <row r="4097" spans="1:4" ht="19.5" customHeight="1">
      <c r="A4097" s="8"/>
      <c r="B4097" s="24" t="s">
        <v>420</v>
      </c>
      <c r="C4097" s="30" t="s">
        <v>2609</v>
      </c>
      <c r="D4097" s="14" t="s">
        <v>422</v>
      </c>
    </row>
    <row r="4098" spans="1:4" ht="19.5" customHeight="1">
      <c r="A4098" s="8"/>
      <c r="B4098" s="24" t="s">
        <v>420</v>
      </c>
      <c r="C4098" s="30" t="s">
        <v>2769</v>
      </c>
      <c r="D4098" s="14" t="s">
        <v>422</v>
      </c>
    </row>
    <row r="4099" spans="1:4" ht="19.5" customHeight="1">
      <c r="A4099" s="8"/>
      <c r="B4099" s="24" t="s">
        <v>2774</v>
      </c>
      <c r="C4099" s="34" t="s">
        <v>2608</v>
      </c>
      <c r="D4099" s="14" t="s">
        <v>436</v>
      </c>
    </row>
    <row r="4100" spans="1:4" ht="19.5" customHeight="1">
      <c r="A4100" s="8"/>
      <c r="B4100" s="38" t="s">
        <v>2773</v>
      </c>
      <c r="C4100" s="34" t="s">
        <v>2608</v>
      </c>
      <c r="D4100" s="14" t="s">
        <v>434</v>
      </c>
    </row>
    <row r="4101" spans="1:4" ht="19.5" customHeight="1">
      <c r="A4101" s="8"/>
      <c r="B4101" s="24" t="s">
        <v>2685</v>
      </c>
      <c r="C4101" s="34" t="s">
        <v>2608</v>
      </c>
      <c r="D4101" s="14" t="s">
        <v>438</v>
      </c>
    </row>
    <row r="4102" spans="1:4" ht="19.5" customHeight="1">
      <c r="A4102" s="8"/>
      <c r="B4102" s="24" t="s">
        <v>2771</v>
      </c>
      <c r="C4102" s="34" t="s">
        <v>2608</v>
      </c>
      <c r="D4102" s="14" t="s">
        <v>2741</v>
      </c>
    </row>
    <row r="4103" spans="1:4" ht="19.5" customHeight="1">
      <c r="A4103" s="8"/>
      <c r="B4103" s="38" t="s">
        <v>2772</v>
      </c>
      <c r="C4103" s="36">
        <v>8</v>
      </c>
      <c r="D4103" s="14" t="s">
        <v>2377</v>
      </c>
    </row>
    <row r="4104" spans="1:4" ht="19.5" customHeight="1">
      <c r="A4104" s="8"/>
      <c r="B4104" s="38" t="s">
        <v>2695</v>
      </c>
      <c r="C4104" s="36">
        <v>2</v>
      </c>
      <c r="D4104" s="14" t="s">
        <v>1111</v>
      </c>
    </row>
    <row r="4105" spans="1:4" ht="19.5" customHeight="1">
      <c r="A4105" s="8"/>
      <c r="B4105" s="38" t="s">
        <v>2747</v>
      </c>
      <c r="C4105" s="36">
        <v>1</v>
      </c>
      <c r="D4105" s="14" t="s">
        <v>2595</v>
      </c>
    </row>
    <row r="4106" spans="1:4" ht="19.5" customHeight="1">
      <c r="A4106" s="8"/>
      <c r="B4106" s="38" t="s">
        <v>2617</v>
      </c>
      <c r="C4106" s="36">
        <v>1</v>
      </c>
      <c r="D4106" s="14" t="s">
        <v>2293</v>
      </c>
    </row>
    <row r="4107" spans="1:4" ht="19.5" customHeight="1">
      <c r="A4107" s="8"/>
      <c r="B4107" s="38" t="s">
        <v>2748</v>
      </c>
      <c r="C4107" s="36">
        <v>2</v>
      </c>
      <c r="D4107" s="14" t="s">
        <v>1117</v>
      </c>
    </row>
    <row r="4108" spans="1:4" ht="19.5" customHeight="1">
      <c r="A4108" s="8"/>
      <c r="B4108" s="38" t="s">
        <v>2749</v>
      </c>
      <c r="C4108" s="36">
        <v>2</v>
      </c>
      <c r="D4108" s="14" t="s">
        <v>1119</v>
      </c>
    </row>
    <row r="4109" spans="1:4" ht="19.5" customHeight="1">
      <c r="A4109" s="8"/>
      <c r="B4109" s="38" t="s">
        <v>2687</v>
      </c>
      <c r="C4109" s="36">
        <v>4</v>
      </c>
      <c r="D4109" s="14" t="s">
        <v>1103</v>
      </c>
    </row>
    <row r="4110" spans="1:4" ht="19.5" customHeight="1">
      <c r="A4110" s="8"/>
      <c r="B4110" s="39" t="s">
        <v>2698</v>
      </c>
      <c r="C4110" s="32">
        <v>1</v>
      </c>
      <c r="D4110" s="14" t="s">
        <v>540</v>
      </c>
    </row>
    <row r="4111" spans="1:4" ht="19.5" customHeight="1">
      <c r="A4111" s="8" t="s">
        <v>1747</v>
      </c>
      <c r="B4111" s="37" t="s">
        <v>2768</v>
      </c>
      <c r="C4111" s="34" t="s">
        <v>2608</v>
      </c>
      <c r="D4111" s="14" t="s">
        <v>428</v>
      </c>
    </row>
    <row r="4112" spans="1:4" ht="19.5" customHeight="1">
      <c r="A4112" s="8"/>
      <c r="B4112" s="24" t="s">
        <v>420</v>
      </c>
      <c r="C4112" s="30" t="s">
        <v>2609</v>
      </c>
      <c r="D4112" s="14" t="s">
        <v>422</v>
      </c>
    </row>
    <row r="4113" spans="1:4" ht="19.5" customHeight="1">
      <c r="A4113" s="8"/>
      <c r="B4113" s="24" t="s">
        <v>420</v>
      </c>
      <c r="C4113" s="30" t="s">
        <v>2609</v>
      </c>
      <c r="D4113" s="14" t="s">
        <v>422</v>
      </c>
    </row>
    <row r="4114" spans="1:4" ht="19.5" customHeight="1">
      <c r="A4114" s="8"/>
      <c r="B4114" s="24" t="s">
        <v>420</v>
      </c>
      <c r="C4114" s="30" t="s">
        <v>2769</v>
      </c>
      <c r="D4114" s="14" t="s">
        <v>422</v>
      </c>
    </row>
    <row r="4115" spans="1:4" ht="19.5" customHeight="1">
      <c r="A4115" s="8"/>
      <c r="B4115" s="24" t="s">
        <v>420</v>
      </c>
      <c r="C4115" s="30" t="s">
        <v>2609</v>
      </c>
      <c r="D4115" s="14" t="s">
        <v>422</v>
      </c>
    </row>
    <row r="4116" spans="1:4" ht="19.5" customHeight="1">
      <c r="A4116" s="8"/>
      <c r="B4116" s="24" t="s">
        <v>420</v>
      </c>
      <c r="C4116" s="30" t="s">
        <v>2609</v>
      </c>
      <c r="D4116" s="14" t="s">
        <v>422</v>
      </c>
    </row>
    <row r="4117" spans="1:4" ht="19.5" customHeight="1">
      <c r="A4117" s="8"/>
      <c r="B4117" s="24" t="s">
        <v>2774</v>
      </c>
      <c r="C4117" s="34" t="s">
        <v>2608</v>
      </c>
      <c r="D4117" s="14" t="s">
        <v>436</v>
      </c>
    </row>
    <row r="4118" spans="1:4" ht="19.5" customHeight="1">
      <c r="A4118" s="8"/>
      <c r="B4118" s="38" t="s">
        <v>2773</v>
      </c>
      <c r="C4118" s="34" t="s">
        <v>2608</v>
      </c>
      <c r="D4118" s="14" t="s">
        <v>434</v>
      </c>
    </row>
    <row r="4119" spans="1:4" ht="19.5" customHeight="1">
      <c r="A4119" s="8"/>
      <c r="B4119" s="24" t="s">
        <v>2685</v>
      </c>
      <c r="C4119" s="34" t="s">
        <v>2608</v>
      </c>
      <c r="D4119" s="14" t="s">
        <v>438</v>
      </c>
    </row>
    <row r="4120" spans="1:4" ht="19.5" customHeight="1">
      <c r="A4120" s="8"/>
      <c r="B4120" s="24" t="s">
        <v>2771</v>
      </c>
      <c r="C4120" s="34" t="s">
        <v>2608</v>
      </c>
      <c r="D4120" s="14" t="s">
        <v>2741</v>
      </c>
    </row>
    <row r="4121" spans="1:4" ht="19.5" customHeight="1">
      <c r="A4121" s="8"/>
      <c r="B4121" s="38" t="s">
        <v>2695</v>
      </c>
      <c r="C4121" s="36">
        <v>2</v>
      </c>
      <c r="D4121" s="14" t="s">
        <v>1111</v>
      </c>
    </row>
    <row r="4122" spans="1:4" ht="19.5" customHeight="1">
      <c r="A4122" s="8"/>
      <c r="B4122" s="38" t="s">
        <v>2747</v>
      </c>
      <c r="C4122" s="36">
        <v>1</v>
      </c>
      <c r="D4122" s="14" t="s">
        <v>2595</v>
      </c>
    </row>
    <row r="4123" spans="1:4" ht="19.5" customHeight="1">
      <c r="A4123" s="8"/>
      <c r="B4123" s="38" t="s">
        <v>2617</v>
      </c>
      <c r="C4123" s="36">
        <v>1</v>
      </c>
      <c r="D4123" s="14" t="s">
        <v>2293</v>
      </c>
    </row>
    <row r="4124" spans="1:4" ht="19.5" customHeight="1">
      <c r="A4124" s="8"/>
      <c r="B4124" s="38" t="s">
        <v>2752</v>
      </c>
      <c r="C4124" s="36">
        <v>1</v>
      </c>
      <c r="D4124" s="14" t="s">
        <v>708</v>
      </c>
    </row>
    <row r="4125" spans="1:4" ht="19.5" customHeight="1">
      <c r="A4125" s="8" t="s">
        <v>1749</v>
      </c>
      <c r="B4125" s="37" t="s">
        <v>2768</v>
      </c>
      <c r="C4125" s="34" t="s">
        <v>2608</v>
      </c>
      <c r="D4125" s="14" t="s">
        <v>428</v>
      </c>
    </row>
    <row r="4126" spans="1:4" ht="19.5" customHeight="1">
      <c r="A4126" s="8"/>
      <c r="B4126" s="24" t="s">
        <v>420</v>
      </c>
      <c r="C4126" s="30" t="s">
        <v>2609</v>
      </c>
      <c r="D4126" s="14" t="s">
        <v>422</v>
      </c>
    </row>
    <row r="4127" spans="1:4" ht="15" customHeight="1">
      <c r="A4127" s="8"/>
      <c r="B4127" s="24" t="s">
        <v>420</v>
      </c>
      <c r="C4127" s="30" t="s">
        <v>2769</v>
      </c>
      <c r="D4127" s="14" t="s">
        <v>422</v>
      </c>
    </row>
    <row r="4128" spans="1:4" ht="15" customHeight="1">
      <c r="A4128" s="8"/>
      <c r="B4128" s="24" t="s">
        <v>420</v>
      </c>
      <c r="C4128" s="30" t="s">
        <v>2609</v>
      </c>
      <c r="D4128" s="14" t="s">
        <v>422</v>
      </c>
    </row>
    <row r="4129" spans="1:4" ht="15" customHeight="1">
      <c r="A4129" s="8"/>
      <c r="B4129" s="38" t="s">
        <v>2770</v>
      </c>
      <c r="C4129" s="34" t="s">
        <v>2608</v>
      </c>
      <c r="D4129" s="14" t="s">
        <v>432</v>
      </c>
    </row>
    <row r="4130" spans="1:4" ht="15" customHeight="1">
      <c r="A4130" s="8"/>
      <c r="B4130" s="24" t="s">
        <v>2771</v>
      </c>
      <c r="C4130" s="34" t="s">
        <v>2608</v>
      </c>
      <c r="D4130" s="14" t="s">
        <v>2741</v>
      </c>
    </row>
    <row r="4131" spans="1:4" ht="15" customHeight="1">
      <c r="A4131" s="8"/>
      <c r="B4131" s="38" t="s">
        <v>2617</v>
      </c>
      <c r="C4131" s="36">
        <v>1</v>
      </c>
      <c r="D4131" s="14" t="s">
        <v>2293</v>
      </c>
    </row>
    <row r="4132" spans="1:4" ht="15" customHeight="1">
      <c r="A4132" s="8"/>
      <c r="B4132" s="38" t="s">
        <v>2754</v>
      </c>
      <c r="C4132" s="36">
        <v>1</v>
      </c>
      <c r="D4132" s="14" t="s">
        <v>1105</v>
      </c>
    </row>
    <row r="4133" spans="1:4" ht="19.5" customHeight="1">
      <c r="A4133" s="8" t="s">
        <v>1751</v>
      </c>
      <c r="B4133" s="37" t="s">
        <v>2768</v>
      </c>
      <c r="C4133" s="34" t="s">
        <v>2608</v>
      </c>
      <c r="D4133" s="14" t="s">
        <v>428</v>
      </c>
    </row>
    <row r="4134" spans="1:4" ht="19.5" customHeight="1">
      <c r="A4134" s="8"/>
      <c r="B4134" s="24" t="s">
        <v>420</v>
      </c>
      <c r="C4134" s="30" t="s">
        <v>2609</v>
      </c>
      <c r="D4134" s="14" t="s">
        <v>422</v>
      </c>
    </row>
    <row r="4135" spans="1:4" ht="19.5" customHeight="1">
      <c r="A4135" s="8"/>
      <c r="B4135" s="24" t="s">
        <v>420</v>
      </c>
      <c r="C4135" s="30" t="s">
        <v>2609</v>
      </c>
      <c r="D4135" s="14" t="s">
        <v>422</v>
      </c>
    </row>
    <row r="4136" spans="1:4" ht="19.5" customHeight="1">
      <c r="A4136" s="8"/>
      <c r="B4136" s="24" t="s">
        <v>420</v>
      </c>
      <c r="C4136" s="30" t="s">
        <v>2769</v>
      </c>
      <c r="D4136" s="14" t="s">
        <v>422</v>
      </c>
    </row>
    <row r="4137" spans="1:4" ht="19.5" customHeight="1">
      <c r="A4137" s="8"/>
      <c r="B4137" s="24" t="s">
        <v>420</v>
      </c>
      <c r="C4137" s="30" t="s">
        <v>2609</v>
      </c>
      <c r="D4137" s="14" t="s">
        <v>422</v>
      </c>
    </row>
    <row r="4138" spans="1:4" ht="19.5" customHeight="1">
      <c r="A4138" s="8"/>
      <c r="B4138" s="24" t="s">
        <v>2774</v>
      </c>
      <c r="C4138" s="34" t="s">
        <v>2608</v>
      </c>
      <c r="D4138" s="14" t="s">
        <v>436</v>
      </c>
    </row>
    <row r="4139" spans="1:4" ht="19.5" customHeight="1">
      <c r="A4139" s="8"/>
      <c r="B4139" s="38" t="s">
        <v>2770</v>
      </c>
      <c r="C4139" s="34" t="s">
        <v>2608</v>
      </c>
      <c r="D4139" s="14" t="s">
        <v>432</v>
      </c>
    </row>
    <row r="4140" spans="1:4" ht="19.5" customHeight="1">
      <c r="A4140" s="8"/>
      <c r="B4140" s="24" t="s">
        <v>2771</v>
      </c>
      <c r="C4140" s="34" t="s">
        <v>2608</v>
      </c>
      <c r="D4140" s="14" t="s">
        <v>2741</v>
      </c>
    </row>
    <row r="4141" spans="1:4" ht="19.5" customHeight="1">
      <c r="A4141" s="8"/>
      <c r="B4141" s="38" t="s">
        <v>2695</v>
      </c>
      <c r="C4141" s="36">
        <v>1</v>
      </c>
      <c r="D4141" s="14" t="s">
        <v>1111</v>
      </c>
    </row>
    <row r="4142" spans="1:4" ht="19.5" customHeight="1">
      <c r="A4142" s="8"/>
      <c r="B4142" s="38" t="s">
        <v>2617</v>
      </c>
      <c r="C4142" s="36">
        <v>1</v>
      </c>
      <c r="D4142" s="14" t="s">
        <v>2293</v>
      </c>
    </row>
    <row r="4143" spans="1:4" ht="19.5" customHeight="1">
      <c r="A4143" s="8"/>
      <c r="B4143" s="38" t="s">
        <v>2754</v>
      </c>
      <c r="C4143" s="36">
        <v>1</v>
      </c>
      <c r="D4143" s="14" t="s">
        <v>1105</v>
      </c>
    </row>
    <row r="4144" spans="1:4" ht="19.5" customHeight="1">
      <c r="A4144" s="8" t="s">
        <v>1753</v>
      </c>
      <c r="B4144" s="37" t="s">
        <v>2768</v>
      </c>
      <c r="C4144" s="34" t="s">
        <v>2608</v>
      </c>
      <c r="D4144" s="14" t="s">
        <v>428</v>
      </c>
    </row>
    <row r="4145" spans="1:4" ht="19.5" customHeight="1">
      <c r="A4145" s="8"/>
      <c r="B4145" s="24" t="s">
        <v>420</v>
      </c>
      <c r="C4145" s="30" t="s">
        <v>2609</v>
      </c>
      <c r="D4145" s="14" t="s">
        <v>422</v>
      </c>
    </row>
    <row r="4146" spans="1:4" ht="19.5" customHeight="1">
      <c r="A4146" s="8"/>
      <c r="B4146" s="24" t="s">
        <v>420</v>
      </c>
      <c r="C4146" s="30" t="s">
        <v>2769</v>
      </c>
      <c r="D4146" s="14" t="s">
        <v>422</v>
      </c>
    </row>
    <row r="4147" spans="1:4" ht="19.5" customHeight="1">
      <c r="A4147" s="8"/>
      <c r="B4147" s="24" t="s">
        <v>420</v>
      </c>
      <c r="C4147" s="30" t="s">
        <v>2609</v>
      </c>
      <c r="D4147" s="14" t="s">
        <v>422</v>
      </c>
    </row>
    <row r="4148" spans="1:4" ht="19.5" customHeight="1">
      <c r="A4148" s="8"/>
      <c r="B4148" s="24" t="s">
        <v>420</v>
      </c>
      <c r="C4148" s="30" t="s">
        <v>2609</v>
      </c>
      <c r="D4148" s="14" t="s">
        <v>422</v>
      </c>
    </row>
    <row r="4149" spans="1:4" ht="19.5" customHeight="1">
      <c r="A4149" s="8"/>
      <c r="B4149" s="38" t="s">
        <v>2770</v>
      </c>
      <c r="C4149" s="34" t="s">
        <v>2608</v>
      </c>
      <c r="D4149" s="14" t="s">
        <v>432</v>
      </c>
    </row>
    <row r="4150" spans="1:4" ht="19.5" customHeight="1">
      <c r="A4150" s="8"/>
      <c r="B4150" s="24" t="s">
        <v>2685</v>
      </c>
      <c r="C4150" s="34" t="s">
        <v>2608</v>
      </c>
      <c r="D4150" s="14" t="s">
        <v>438</v>
      </c>
    </row>
    <row r="4151" spans="1:4" ht="19.5" customHeight="1">
      <c r="A4151" s="8"/>
      <c r="B4151" s="24" t="s">
        <v>2771</v>
      </c>
      <c r="C4151" s="34" t="s">
        <v>2608</v>
      </c>
      <c r="D4151" s="14" t="s">
        <v>2741</v>
      </c>
    </row>
    <row r="4152" spans="1:4" ht="19.5" customHeight="1">
      <c r="A4152" s="8"/>
      <c r="B4152" s="38" t="s">
        <v>2617</v>
      </c>
      <c r="C4152" s="36">
        <v>1</v>
      </c>
      <c r="D4152" s="14" t="s">
        <v>2293</v>
      </c>
    </row>
    <row r="4153" spans="1:4" ht="19.5" customHeight="1">
      <c r="A4153" s="8"/>
      <c r="B4153" s="38" t="s">
        <v>2747</v>
      </c>
      <c r="C4153" s="36">
        <v>1</v>
      </c>
      <c r="D4153" s="14" t="s">
        <v>2595</v>
      </c>
    </row>
    <row r="4154" spans="1:4" ht="19.5" customHeight="1">
      <c r="A4154" s="8"/>
      <c r="B4154" s="38" t="s">
        <v>2752</v>
      </c>
      <c r="C4154" s="36">
        <v>1</v>
      </c>
      <c r="D4154" s="14" t="s">
        <v>708</v>
      </c>
    </row>
    <row r="4155" spans="1:4" ht="19.5" customHeight="1">
      <c r="A4155" s="8" t="s">
        <v>1755</v>
      </c>
      <c r="B4155" s="37" t="s">
        <v>2768</v>
      </c>
      <c r="C4155" s="34" t="s">
        <v>2608</v>
      </c>
      <c r="D4155" s="14" t="s">
        <v>428</v>
      </c>
    </row>
    <row r="4156" spans="1:4" ht="19.5" customHeight="1">
      <c r="A4156" s="8"/>
      <c r="B4156" s="24" t="s">
        <v>420</v>
      </c>
      <c r="C4156" s="30" t="s">
        <v>2609</v>
      </c>
      <c r="D4156" s="14" t="s">
        <v>422</v>
      </c>
    </row>
    <row r="4157" spans="1:4" ht="19.5" customHeight="1">
      <c r="A4157" s="8"/>
      <c r="B4157" s="24" t="s">
        <v>420</v>
      </c>
      <c r="C4157" s="30" t="s">
        <v>2609</v>
      </c>
      <c r="D4157" s="14" t="s">
        <v>422</v>
      </c>
    </row>
    <row r="4158" spans="1:4" ht="19.5" customHeight="1">
      <c r="A4158" s="8"/>
      <c r="B4158" s="24" t="s">
        <v>420</v>
      </c>
      <c r="C4158" s="30" t="s">
        <v>2769</v>
      </c>
      <c r="D4158" s="14" t="s">
        <v>422</v>
      </c>
    </row>
    <row r="4159" spans="1:4" ht="19.5" customHeight="1">
      <c r="A4159" s="8"/>
      <c r="B4159" s="24" t="s">
        <v>420</v>
      </c>
      <c r="C4159" s="30" t="s">
        <v>2609</v>
      </c>
      <c r="D4159" s="14" t="s">
        <v>422</v>
      </c>
    </row>
    <row r="4160" spans="1:4" ht="19.5" customHeight="1">
      <c r="A4160" s="8"/>
      <c r="B4160" s="24" t="s">
        <v>420</v>
      </c>
      <c r="C4160" s="30" t="s">
        <v>2609</v>
      </c>
      <c r="D4160" s="14" t="s">
        <v>422</v>
      </c>
    </row>
    <row r="4161" spans="1:4" ht="19.5" customHeight="1">
      <c r="A4161" s="8"/>
      <c r="B4161" s="38" t="s">
        <v>2770</v>
      </c>
      <c r="C4161" s="34" t="s">
        <v>2608</v>
      </c>
      <c r="D4161" s="14" t="s">
        <v>432</v>
      </c>
    </row>
    <row r="4162" spans="1:4" ht="19.5" customHeight="1">
      <c r="A4162" s="8"/>
      <c r="B4162" s="24" t="s">
        <v>2774</v>
      </c>
      <c r="C4162" s="34" t="s">
        <v>2608</v>
      </c>
      <c r="D4162" s="14" t="s">
        <v>436</v>
      </c>
    </row>
    <row r="4163" spans="1:4" ht="19.5" customHeight="1">
      <c r="A4163" s="8"/>
      <c r="B4163" s="24" t="s">
        <v>2685</v>
      </c>
      <c r="C4163" s="34" t="s">
        <v>2608</v>
      </c>
      <c r="D4163" s="14" t="s">
        <v>438</v>
      </c>
    </row>
    <row r="4164" spans="1:4" ht="19.5" customHeight="1">
      <c r="A4164" s="8"/>
      <c r="B4164" s="24" t="s">
        <v>2771</v>
      </c>
      <c r="C4164" s="34" t="s">
        <v>2608</v>
      </c>
      <c r="D4164" s="14" t="s">
        <v>2741</v>
      </c>
    </row>
    <row r="4165" spans="1:4" ht="19.5" customHeight="1">
      <c r="A4165" s="8"/>
      <c r="B4165" s="38" t="s">
        <v>2695</v>
      </c>
      <c r="C4165" s="36">
        <v>1</v>
      </c>
      <c r="D4165" s="14" t="s">
        <v>1111</v>
      </c>
    </row>
    <row r="4166" spans="1:4" ht="19.5" customHeight="1">
      <c r="A4166" s="8"/>
      <c r="B4166" s="38" t="s">
        <v>2747</v>
      </c>
      <c r="C4166" s="36">
        <v>1</v>
      </c>
      <c r="D4166" s="14" t="s">
        <v>2595</v>
      </c>
    </row>
    <row r="4167" spans="1:4" ht="19.5" customHeight="1">
      <c r="A4167" s="8"/>
      <c r="B4167" s="38" t="s">
        <v>2617</v>
      </c>
      <c r="C4167" s="36">
        <v>1</v>
      </c>
      <c r="D4167" s="14" t="s">
        <v>2293</v>
      </c>
    </row>
    <row r="4168" spans="1:4" ht="19.5" customHeight="1">
      <c r="A4168" s="8"/>
      <c r="B4168" s="38" t="s">
        <v>2752</v>
      </c>
      <c r="C4168" s="36">
        <v>1</v>
      </c>
      <c r="D4168" s="14" t="s">
        <v>708</v>
      </c>
    </row>
    <row r="4169" spans="1:4" ht="19.5" customHeight="1">
      <c r="A4169" s="35"/>
      <c r="B4169" s="38"/>
      <c r="C4169" s="36"/>
      <c r="D4169" s="14"/>
    </row>
    <row r="4170" spans="1:4" ht="19.5" customHeight="1">
      <c r="A4170" s="35"/>
      <c r="B4170" s="38"/>
      <c r="C4170" s="36"/>
      <c r="D4170" s="14"/>
    </row>
    <row r="4171" spans="1:4" ht="19.5" customHeight="1">
      <c r="A4171" s="35"/>
      <c r="B4171" s="38"/>
      <c r="C4171" s="36"/>
      <c r="D4171" s="14"/>
    </row>
    <row r="4172" spans="1:4" ht="19.5" customHeight="1">
      <c r="A4172" s="8" t="s">
        <v>2775</v>
      </c>
      <c r="B4172" s="37" t="s">
        <v>2776</v>
      </c>
      <c r="C4172" s="34" t="s">
        <v>2608</v>
      </c>
      <c r="D4172" s="14" t="s">
        <v>430</v>
      </c>
    </row>
    <row r="4173" spans="1:4" ht="19.5" customHeight="1">
      <c r="A4173" s="8"/>
      <c r="B4173" s="24" t="s">
        <v>420</v>
      </c>
      <c r="C4173" s="30" t="s">
        <v>2609</v>
      </c>
      <c r="D4173" s="14" t="s">
        <v>422</v>
      </c>
    </row>
    <row r="4174" spans="1:4" ht="19.5" customHeight="1">
      <c r="A4174" s="8"/>
      <c r="B4174" s="24" t="s">
        <v>420</v>
      </c>
      <c r="C4174" s="30" t="s">
        <v>2609</v>
      </c>
      <c r="D4174" s="14" t="s">
        <v>422</v>
      </c>
    </row>
    <row r="4175" spans="1:4" ht="19.5" customHeight="1">
      <c r="A4175" s="8"/>
      <c r="B4175" s="24" t="s">
        <v>420</v>
      </c>
      <c r="C4175" s="30" t="s">
        <v>2769</v>
      </c>
      <c r="D4175" s="14" t="s">
        <v>422</v>
      </c>
    </row>
    <row r="4176" spans="1:4" ht="19.5" customHeight="1">
      <c r="A4176" s="8"/>
      <c r="B4176" s="38" t="s">
        <v>2773</v>
      </c>
      <c r="C4176" s="34" t="s">
        <v>2608</v>
      </c>
      <c r="D4176" s="14" t="s">
        <v>434</v>
      </c>
    </row>
    <row r="4177" spans="1:4" ht="19.5" customHeight="1">
      <c r="A4177" s="8"/>
      <c r="B4177" s="24" t="s">
        <v>2774</v>
      </c>
      <c r="C4177" s="34" t="s">
        <v>2608</v>
      </c>
      <c r="D4177" s="14" t="s">
        <v>436</v>
      </c>
    </row>
    <row r="4178" spans="1:4" ht="19.5" customHeight="1">
      <c r="A4178" s="8"/>
      <c r="B4178" s="24" t="s">
        <v>420</v>
      </c>
      <c r="C4178" s="30" t="s">
        <v>2609</v>
      </c>
      <c r="D4178" s="14" t="s">
        <v>422</v>
      </c>
    </row>
    <row r="4179" spans="1:4" ht="19.5" customHeight="1">
      <c r="A4179" s="8"/>
      <c r="B4179" s="24" t="s">
        <v>2756</v>
      </c>
      <c r="C4179" s="34" t="s">
        <v>2608</v>
      </c>
      <c r="D4179" s="14" t="s">
        <v>1862</v>
      </c>
    </row>
    <row r="4180" spans="1:4" ht="19.5" customHeight="1">
      <c r="A4180" s="8"/>
      <c r="B4180" s="24" t="s">
        <v>2771</v>
      </c>
      <c r="C4180" s="34" t="s">
        <v>2608</v>
      </c>
      <c r="D4180" s="14" t="s">
        <v>2741</v>
      </c>
    </row>
    <row r="4181" spans="1:4" ht="19.5" customHeight="1">
      <c r="A4181" s="8"/>
      <c r="B4181" s="38" t="s">
        <v>2772</v>
      </c>
      <c r="C4181" s="36">
        <v>4</v>
      </c>
      <c r="D4181" s="14" t="s">
        <v>2377</v>
      </c>
    </row>
    <row r="4182" spans="1:4" ht="19.5" customHeight="1">
      <c r="A4182" s="8"/>
      <c r="B4182" s="38" t="s">
        <v>2695</v>
      </c>
      <c r="C4182" s="36">
        <v>1</v>
      </c>
      <c r="D4182" s="14" t="s">
        <v>1111</v>
      </c>
    </row>
    <row r="4183" spans="1:4" ht="19.5" customHeight="1">
      <c r="A4183" s="8"/>
      <c r="B4183" s="38" t="s">
        <v>2777</v>
      </c>
      <c r="C4183" s="36">
        <v>1</v>
      </c>
      <c r="D4183" s="14" t="s">
        <v>2342</v>
      </c>
    </row>
    <row r="4184" spans="1:4" ht="19.5" customHeight="1">
      <c r="A4184" s="8"/>
      <c r="B4184" s="38" t="s">
        <v>2778</v>
      </c>
      <c r="C4184" s="36">
        <v>1</v>
      </c>
      <c r="D4184" s="14" t="s">
        <v>1086</v>
      </c>
    </row>
    <row r="4185" spans="1:4" ht="19.5" customHeight="1">
      <c r="A4185" s="8"/>
      <c r="B4185" s="38" t="s">
        <v>2708</v>
      </c>
      <c r="C4185" s="36">
        <v>1</v>
      </c>
      <c r="D4185" s="14" t="s">
        <v>1101</v>
      </c>
    </row>
    <row r="4186" spans="1:4" ht="19.5" customHeight="1">
      <c r="A4186" s="8" t="s">
        <v>1759</v>
      </c>
      <c r="B4186" s="37" t="s">
        <v>2776</v>
      </c>
      <c r="C4186" s="34" t="s">
        <v>2608</v>
      </c>
      <c r="D4186" s="14" t="s">
        <v>430</v>
      </c>
    </row>
    <row r="4187" spans="1:4" ht="19.5" customHeight="1">
      <c r="A4187" s="8"/>
      <c r="B4187" s="24" t="s">
        <v>420</v>
      </c>
      <c r="C4187" s="30" t="s">
        <v>2609</v>
      </c>
      <c r="D4187" s="14" t="s">
        <v>422</v>
      </c>
    </row>
    <row r="4188" spans="1:4" ht="19.5" customHeight="1">
      <c r="A4188" s="8"/>
      <c r="B4188" s="24" t="s">
        <v>420</v>
      </c>
      <c r="C4188" s="30" t="s">
        <v>2609</v>
      </c>
      <c r="D4188" s="14" t="s">
        <v>422</v>
      </c>
    </row>
    <row r="4189" spans="1:4" ht="19.5" customHeight="1">
      <c r="A4189" s="8"/>
      <c r="B4189" s="24" t="s">
        <v>420</v>
      </c>
      <c r="C4189" s="30" t="s">
        <v>2769</v>
      </c>
      <c r="D4189" s="14" t="s">
        <v>422</v>
      </c>
    </row>
    <row r="4190" spans="1:4" ht="19.5" customHeight="1">
      <c r="A4190" s="8"/>
      <c r="B4190" s="24" t="s">
        <v>420</v>
      </c>
      <c r="C4190" s="30" t="s">
        <v>2609</v>
      </c>
      <c r="D4190" s="14" t="s">
        <v>422</v>
      </c>
    </row>
    <row r="4191" spans="1:4" ht="19.5" customHeight="1">
      <c r="A4191" s="8"/>
      <c r="B4191" s="38" t="s">
        <v>2773</v>
      </c>
      <c r="C4191" s="34" t="s">
        <v>2608</v>
      </c>
      <c r="D4191" s="14" t="s">
        <v>434</v>
      </c>
    </row>
    <row r="4192" spans="1:4" ht="19.5" customHeight="1">
      <c r="A4192" s="8"/>
      <c r="B4192" s="24" t="s">
        <v>2774</v>
      </c>
      <c r="C4192" s="34" t="s">
        <v>2608</v>
      </c>
      <c r="D4192" s="14" t="s">
        <v>436</v>
      </c>
    </row>
    <row r="4193" spans="1:4" ht="19.5" customHeight="1">
      <c r="A4193" s="8"/>
      <c r="B4193" s="24" t="s">
        <v>2756</v>
      </c>
      <c r="C4193" s="34" t="s">
        <v>2608</v>
      </c>
      <c r="D4193" s="14" t="s">
        <v>1862</v>
      </c>
    </row>
    <row r="4194" spans="1:4" ht="19.5" customHeight="1">
      <c r="A4194" s="8"/>
      <c r="B4194" s="24" t="s">
        <v>2771</v>
      </c>
      <c r="C4194" s="34" t="s">
        <v>2608</v>
      </c>
      <c r="D4194" s="14" t="s">
        <v>2741</v>
      </c>
    </row>
    <row r="4195" spans="1:4" ht="19.5" customHeight="1">
      <c r="A4195" s="8"/>
      <c r="B4195" s="38" t="s">
        <v>2772</v>
      </c>
      <c r="C4195" s="36">
        <v>4</v>
      </c>
      <c r="D4195" s="14" t="s">
        <v>2377</v>
      </c>
    </row>
    <row r="4196" spans="1:4" ht="19.5" customHeight="1">
      <c r="A4196" s="8"/>
      <c r="B4196" s="38" t="s">
        <v>2695</v>
      </c>
      <c r="C4196" s="36">
        <v>1</v>
      </c>
      <c r="D4196" s="14" t="s">
        <v>1111</v>
      </c>
    </row>
    <row r="4197" spans="1:4" ht="19.5" customHeight="1">
      <c r="A4197" s="8"/>
      <c r="B4197" s="38" t="s">
        <v>2777</v>
      </c>
      <c r="C4197" s="36">
        <v>1</v>
      </c>
      <c r="D4197" s="14" t="s">
        <v>2342</v>
      </c>
    </row>
    <row r="4198" spans="1:4" ht="19.5" customHeight="1">
      <c r="A4198" s="8"/>
      <c r="B4198" s="38" t="s">
        <v>2778</v>
      </c>
      <c r="C4198" s="36">
        <v>1</v>
      </c>
      <c r="D4198" s="14" t="s">
        <v>1086</v>
      </c>
    </row>
    <row r="4199" spans="1:4" ht="19.5" customHeight="1">
      <c r="A4199" s="8"/>
      <c r="B4199" s="38" t="s">
        <v>2708</v>
      </c>
      <c r="C4199" s="36">
        <v>1</v>
      </c>
      <c r="D4199" s="14" t="s">
        <v>1101</v>
      </c>
    </row>
    <row r="4200" spans="1:4" ht="19.5" customHeight="1">
      <c r="A4200" s="8" t="s">
        <v>1761</v>
      </c>
      <c r="B4200" s="37" t="s">
        <v>2776</v>
      </c>
      <c r="C4200" s="34" t="s">
        <v>2608</v>
      </c>
      <c r="D4200" s="14" t="s">
        <v>430</v>
      </c>
    </row>
    <row r="4201" spans="1:4" ht="19.5" customHeight="1">
      <c r="A4201" s="8"/>
      <c r="B4201" s="24" t="s">
        <v>420</v>
      </c>
      <c r="C4201" s="30" t="s">
        <v>2609</v>
      </c>
      <c r="D4201" s="14" t="s">
        <v>422</v>
      </c>
    </row>
    <row r="4202" spans="1:4" ht="19.5" customHeight="1">
      <c r="A4202" s="8"/>
      <c r="B4202" s="24" t="s">
        <v>420</v>
      </c>
      <c r="C4202" s="30" t="s">
        <v>2769</v>
      </c>
      <c r="D4202" s="14" t="s">
        <v>422</v>
      </c>
    </row>
    <row r="4203" spans="1:4" ht="19.5" customHeight="1">
      <c r="A4203" s="8"/>
      <c r="B4203" s="24" t="s">
        <v>420</v>
      </c>
      <c r="C4203" s="30" t="s">
        <v>2609</v>
      </c>
      <c r="D4203" s="14" t="s">
        <v>422</v>
      </c>
    </row>
    <row r="4204" spans="1:4" ht="19.5" customHeight="1">
      <c r="A4204" s="8"/>
      <c r="B4204" s="38" t="s">
        <v>2773</v>
      </c>
      <c r="C4204" s="34" t="s">
        <v>2608</v>
      </c>
      <c r="D4204" s="14" t="s">
        <v>434</v>
      </c>
    </row>
    <row r="4205" spans="1:4" ht="19.5" customHeight="1">
      <c r="A4205" s="8"/>
      <c r="B4205" s="24" t="s">
        <v>2779</v>
      </c>
      <c r="C4205" s="34" t="s">
        <v>2608</v>
      </c>
      <c r="D4205" s="14" t="s">
        <v>442</v>
      </c>
    </row>
    <row r="4206" spans="1:4" ht="19.5" customHeight="1">
      <c r="A4206" s="8"/>
      <c r="B4206" s="38" t="s">
        <v>2772</v>
      </c>
      <c r="C4206" s="36">
        <v>4</v>
      </c>
      <c r="D4206" s="14" t="s">
        <v>2377</v>
      </c>
    </row>
    <row r="4207" spans="1:4" ht="19.5" customHeight="1">
      <c r="A4207" s="8"/>
      <c r="B4207" s="38" t="s">
        <v>2777</v>
      </c>
      <c r="C4207" s="36">
        <v>1</v>
      </c>
      <c r="D4207" s="14" t="s">
        <v>2342</v>
      </c>
    </row>
    <row r="4208" spans="1:4" ht="19.5" customHeight="1">
      <c r="A4208" s="8"/>
      <c r="B4208" s="38" t="s">
        <v>2778</v>
      </c>
      <c r="C4208" s="36">
        <v>1</v>
      </c>
      <c r="D4208" s="14" t="s">
        <v>1086</v>
      </c>
    </row>
    <row r="4209" spans="1:4" ht="19.5" customHeight="1">
      <c r="A4209" s="8"/>
      <c r="B4209" s="38" t="s">
        <v>2708</v>
      </c>
      <c r="C4209" s="36">
        <v>1</v>
      </c>
      <c r="D4209" s="14" t="s">
        <v>1101</v>
      </c>
    </row>
    <row r="4210" spans="1:4" ht="19.5" customHeight="1">
      <c r="A4210" s="35"/>
      <c r="B4210" s="38"/>
      <c r="C4210" s="36"/>
      <c r="D4210" s="14"/>
    </row>
    <row r="4211" spans="1:4" ht="19.5" customHeight="1">
      <c r="A4211" s="8" t="s">
        <v>1530</v>
      </c>
      <c r="B4211" s="37" t="s">
        <v>2776</v>
      </c>
      <c r="C4211" s="34" t="s">
        <v>2608</v>
      </c>
      <c r="D4211" s="14" t="s">
        <v>430</v>
      </c>
    </row>
    <row r="4212" spans="1:4" ht="19.5" customHeight="1">
      <c r="A4212" s="8"/>
      <c r="B4212" s="38" t="s">
        <v>2770</v>
      </c>
      <c r="C4212" s="34" t="s">
        <v>2608</v>
      </c>
      <c r="D4212" s="14" t="s">
        <v>432</v>
      </c>
    </row>
    <row r="4213" spans="1:4" ht="19.5" customHeight="1">
      <c r="A4213" s="8"/>
      <c r="B4213" s="38" t="s">
        <v>420</v>
      </c>
      <c r="C4213" s="30" t="s">
        <v>2670</v>
      </c>
      <c r="D4213" s="14" t="s">
        <v>422</v>
      </c>
    </row>
    <row r="4214" spans="1:4" ht="19.5" customHeight="1">
      <c r="A4214" s="8"/>
      <c r="B4214" s="24" t="s">
        <v>420</v>
      </c>
      <c r="C4214" s="30" t="s">
        <v>2609</v>
      </c>
      <c r="D4214" s="14" t="s">
        <v>422</v>
      </c>
    </row>
    <row r="4215" spans="1:4" ht="19.5" customHeight="1">
      <c r="A4215" s="8"/>
      <c r="B4215" s="24" t="s">
        <v>420</v>
      </c>
      <c r="C4215" s="30" t="s">
        <v>2609</v>
      </c>
      <c r="D4215" s="14" t="s">
        <v>422</v>
      </c>
    </row>
    <row r="4216" spans="1:4" ht="19.5" customHeight="1">
      <c r="A4216" s="8"/>
      <c r="B4216" s="24" t="s">
        <v>420</v>
      </c>
      <c r="C4216" s="30" t="s">
        <v>2609</v>
      </c>
      <c r="D4216" s="14" t="s">
        <v>422</v>
      </c>
    </row>
    <row r="4217" spans="1:4" ht="19.5" customHeight="1">
      <c r="A4217" s="8"/>
      <c r="B4217" s="38" t="s">
        <v>2780</v>
      </c>
      <c r="C4217" s="34" t="s">
        <v>2608</v>
      </c>
      <c r="D4217" s="14" t="s">
        <v>442</v>
      </c>
    </row>
    <row r="4218" spans="1:4" ht="19.5" customHeight="1">
      <c r="A4218" s="8"/>
      <c r="B4218" s="38" t="s">
        <v>2772</v>
      </c>
      <c r="C4218" s="36">
        <v>4</v>
      </c>
      <c r="D4218" s="14" t="s">
        <v>2377</v>
      </c>
    </row>
    <row r="4219" spans="1:4" ht="19.5" customHeight="1">
      <c r="A4219" s="8"/>
      <c r="B4219" s="38" t="s">
        <v>2781</v>
      </c>
      <c r="C4219" s="36">
        <v>1</v>
      </c>
      <c r="D4219" s="14" t="s">
        <v>2342</v>
      </c>
    </row>
    <row r="4220" spans="1:4" ht="19.5" customHeight="1">
      <c r="A4220" s="8"/>
      <c r="B4220" s="38" t="s">
        <v>2782</v>
      </c>
      <c r="C4220" s="36">
        <v>1</v>
      </c>
      <c r="D4220" s="14" t="s">
        <v>1082</v>
      </c>
    </row>
    <row r="4221" spans="1:4" ht="19.5" customHeight="1">
      <c r="A4221" s="8"/>
      <c r="B4221" s="38" t="s">
        <v>2714</v>
      </c>
      <c r="C4221" s="36">
        <v>1</v>
      </c>
      <c r="D4221" s="14" t="s">
        <v>1088</v>
      </c>
    </row>
    <row r="4222" spans="1:4" ht="19.5" customHeight="1">
      <c r="A4222" s="8"/>
      <c r="B4222" s="38" t="s">
        <v>2708</v>
      </c>
      <c r="C4222" s="36">
        <v>1</v>
      </c>
      <c r="D4222" s="14" t="s">
        <v>1101</v>
      </c>
    </row>
    <row r="4223" spans="1:4" ht="19.5" customHeight="1">
      <c r="A4223" s="8" t="s">
        <v>1532</v>
      </c>
      <c r="B4223" s="37" t="s">
        <v>2783</v>
      </c>
      <c r="C4223" s="34" t="s">
        <v>2608</v>
      </c>
      <c r="D4223" s="14" t="s">
        <v>426</v>
      </c>
    </row>
    <row r="4224" spans="1:4" ht="19.5" customHeight="1">
      <c r="A4224" s="8"/>
      <c r="B4224" s="38" t="s">
        <v>2770</v>
      </c>
      <c r="C4224" s="34" t="s">
        <v>2608</v>
      </c>
      <c r="D4224" s="14" t="s">
        <v>432</v>
      </c>
    </row>
    <row r="4225" spans="1:4" ht="19.5" customHeight="1">
      <c r="A4225" s="8"/>
      <c r="B4225" s="38" t="s">
        <v>420</v>
      </c>
      <c r="C4225" s="30" t="s">
        <v>2670</v>
      </c>
      <c r="D4225" s="14" t="s">
        <v>422</v>
      </c>
    </row>
    <row r="4226" spans="1:4" ht="19.5" customHeight="1">
      <c r="A4226" s="8"/>
      <c r="B4226" s="24" t="s">
        <v>420</v>
      </c>
      <c r="C4226" s="30" t="s">
        <v>2609</v>
      </c>
      <c r="D4226" s="14" t="s">
        <v>422</v>
      </c>
    </row>
    <row r="4227" spans="1:4" ht="19.5" customHeight="1">
      <c r="A4227" s="8"/>
      <c r="B4227" s="24" t="s">
        <v>2716</v>
      </c>
      <c r="C4227" s="34" t="s">
        <v>2608</v>
      </c>
      <c r="D4227" s="14" t="s">
        <v>2717</v>
      </c>
    </row>
    <row r="4228" spans="1:4" ht="19.5" customHeight="1">
      <c r="A4228" s="8"/>
      <c r="B4228" s="24" t="s">
        <v>420</v>
      </c>
      <c r="C4228" s="30" t="s">
        <v>2609</v>
      </c>
      <c r="D4228" s="14" t="s">
        <v>422</v>
      </c>
    </row>
    <row r="4229" spans="1:4" ht="19.5" customHeight="1">
      <c r="A4229" s="8"/>
      <c r="B4229" s="24" t="s">
        <v>420</v>
      </c>
      <c r="C4229" s="30" t="s">
        <v>2609</v>
      </c>
      <c r="D4229" s="14" t="s">
        <v>422</v>
      </c>
    </row>
    <row r="4230" spans="1:4" ht="19.5" customHeight="1">
      <c r="A4230" s="8"/>
      <c r="B4230" s="38" t="s">
        <v>2780</v>
      </c>
      <c r="C4230" s="34" t="s">
        <v>2608</v>
      </c>
      <c r="D4230" s="14" t="s">
        <v>442</v>
      </c>
    </row>
    <row r="4231" spans="1:4" ht="19.5" customHeight="1">
      <c r="A4231" s="8"/>
      <c r="B4231" s="38" t="s">
        <v>2772</v>
      </c>
      <c r="C4231" s="36">
        <v>4</v>
      </c>
      <c r="D4231" s="14" t="s">
        <v>2377</v>
      </c>
    </row>
    <row r="4232" spans="1:4" ht="19.5" customHeight="1">
      <c r="A4232" s="8"/>
      <c r="B4232" s="38" t="s">
        <v>2781</v>
      </c>
      <c r="C4232" s="36">
        <v>1</v>
      </c>
      <c r="D4232" s="14" t="s">
        <v>2342</v>
      </c>
    </row>
    <row r="4233" spans="1:4" ht="19.5" customHeight="1">
      <c r="A4233" s="8"/>
      <c r="B4233" s="38" t="s">
        <v>2782</v>
      </c>
      <c r="C4233" s="36">
        <v>1</v>
      </c>
      <c r="D4233" s="14" t="s">
        <v>1082</v>
      </c>
    </row>
    <row r="4234" spans="1:4" ht="19.5" customHeight="1">
      <c r="A4234" s="8"/>
      <c r="B4234" s="38" t="s">
        <v>2714</v>
      </c>
      <c r="C4234" s="36">
        <v>1</v>
      </c>
      <c r="D4234" s="14" t="s">
        <v>1088</v>
      </c>
    </row>
    <row r="4235" spans="1:4" ht="19.5" customHeight="1">
      <c r="A4235" s="8"/>
      <c r="B4235" s="38" t="s">
        <v>2708</v>
      </c>
      <c r="C4235" s="36">
        <v>1</v>
      </c>
      <c r="D4235" s="14" t="s">
        <v>1101</v>
      </c>
    </row>
    <row r="4236" spans="1:4" ht="19.5" customHeight="1">
      <c r="A4236" s="8" t="s">
        <v>1534</v>
      </c>
      <c r="B4236" s="37" t="s">
        <v>2776</v>
      </c>
      <c r="C4236" s="34" t="s">
        <v>2608</v>
      </c>
      <c r="D4236" s="14" t="s">
        <v>430</v>
      </c>
    </row>
    <row r="4237" spans="1:4" ht="19.5" customHeight="1">
      <c r="A4237" s="8"/>
      <c r="B4237" s="38" t="s">
        <v>2770</v>
      </c>
      <c r="C4237" s="34" t="s">
        <v>2608</v>
      </c>
      <c r="D4237" s="14" t="s">
        <v>432</v>
      </c>
    </row>
    <row r="4238" spans="1:4" ht="19.5" customHeight="1">
      <c r="A4238" s="8"/>
      <c r="B4238" s="38" t="s">
        <v>420</v>
      </c>
      <c r="C4238" s="30" t="s">
        <v>2670</v>
      </c>
      <c r="D4238" s="14" t="s">
        <v>422</v>
      </c>
    </row>
    <row r="4239" spans="1:4" ht="19.5" customHeight="1">
      <c r="A4239" s="8"/>
      <c r="B4239" s="24" t="s">
        <v>420</v>
      </c>
      <c r="C4239" s="30" t="s">
        <v>2609</v>
      </c>
      <c r="D4239" s="14" t="s">
        <v>422</v>
      </c>
    </row>
    <row r="4240" spans="1:4" ht="19.5" customHeight="1">
      <c r="A4240" s="8"/>
      <c r="B4240" s="24" t="s">
        <v>420</v>
      </c>
      <c r="C4240" s="30" t="s">
        <v>2609</v>
      </c>
      <c r="D4240" s="14" t="s">
        <v>422</v>
      </c>
    </row>
    <row r="4241" spans="1:4" ht="19.5" customHeight="1">
      <c r="A4241" s="8"/>
      <c r="B4241" s="24" t="s">
        <v>420</v>
      </c>
      <c r="C4241" s="30" t="s">
        <v>2609</v>
      </c>
      <c r="D4241" s="14" t="s">
        <v>422</v>
      </c>
    </row>
    <row r="4242" spans="1:4" ht="19.5" customHeight="1">
      <c r="A4242" s="8"/>
      <c r="B4242" s="38" t="s">
        <v>2780</v>
      </c>
      <c r="C4242" s="34" t="s">
        <v>2608</v>
      </c>
      <c r="D4242" s="14" t="s">
        <v>442</v>
      </c>
    </row>
    <row r="4243" spans="1:4" ht="19.5" customHeight="1">
      <c r="A4243" s="8"/>
      <c r="B4243" s="38" t="s">
        <v>2772</v>
      </c>
      <c r="C4243" s="36">
        <v>4</v>
      </c>
      <c r="D4243" s="14" t="s">
        <v>2377</v>
      </c>
    </row>
    <row r="4244" spans="1:4" ht="19.5" customHeight="1">
      <c r="A4244" s="8"/>
      <c r="B4244" s="38" t="s">
        <v>2781</v>
      </c>
      <c r="C4244" s="36">
        <v>1</v>
      </c>
      <c r="D4244" s="14" t="s">
        <v>2342</v>
      </c>
    </row>
    <row r="4245" spans="1:4" ht="19.5" customHeight="1">
      <c r="A4245" s="8"/>
      <c r="B4245" s="38" t="s">
        <v>2784</v>
      </c>
      <c r="C4245" s="36">
        <v>1</v>
      </c>
      <c r="D4245" s="14" t="s">
        <v>562</v>
      </c>
    </row>
    <row r="4246" spans="1:4" ht="19.5" customHeight="1">
      <c r="A4246" s="8"/>
      <c r="B4246" s="38" t="s">
        <v>2720</v>
      </c>
      <c r="C4246" s="36">
        <v>4</v>
      </c>
      <c r="D4246" s="14" t="s">
        <v>1105</v>
      </c>
    </row>
    <row r="4247" spans="1:4" ht="19.5" customHeight="1">
      <c r="A4247" s="35"/>
      <c r="B4247" s="38"/>
      <c r="C4247" s="36"/>
      <c r="D4247" s="14"/>
    </row>
    <row r="4248" spans="1:4" ht="19.5" customHeight="1">
      <c r="A4248" s="35"/>
      <c r="B4248" s="38"/>
      <c r="C4248" s="36"/>
      <c r="D4248" s="14"/>
    </row>
    <row r="4249" spans="1:4" ht="19.5" customHeight="1">
      <c r="A4249" s="35"/>
      <c r="B4249" s="38"/>
      <c r="C4249" s="36"/>
      <c r="D4249" s="14"/>
    </row>
    <row r="4250" spans="1:4" ht="19.5" customHeight="1">
      <c r="A4250" s="8" t="s">
        <v>1536</v>
      </c>
      <c r="B4250" s="37" t="s">
        <v>2783</v>
      </c>
      <c r="C4250" s="34" t="s">
        <v>2608</v>
      </c>
      <c r="D4250" s="14" t="s">
        <v>426</v>
      </c>
    </row>
    <row r="4251" spans="1:4" ht="19.5" customHeight="1">
      <c r="A4251" s="8"/>
      <c r="B4251" s="38" t="s">
        <v>2770</v>
      </c>
      <c r="C4251" s="34" t="s">
        <v>2608</v>
      </c>
      <c r="D4251" s="14" t="s">
        <v>432</v>
      </c>
    </row>
    <row r="4252" spans="1:4" ht="19.5" customHeight="1">
      <c r="A4252" s="8"/>
      <c r="B4252" s="38" t="s">
        <v>420</v>
      </c>
      <c r="C4252" s="30" t="s">
        <v>2670</v>
      </c>
      <c r="D4252" s="14" t="s">
        <v>422</v>
      </c>
    </row>
    <row r="4253" spans="1:4" ht="19.5" customHeight="1">
      <c r="A4253" s="8"/>
      <c r="B4253" s="24" t="s">
        <v>420</v>
      </c>
      <c r="C4253" s="30" t="s">
        <v>2609</v>
      </c>
      <c r="D4253" s="14" t="s">
        <v>422</v>
      </c>
    </row>
    <row r="4254" spans="1:4" ht="19.5" customHeight="1">
      <c r="A4254" s="8"/>
      <c r="B4254" s="24" t="s">
        <v>2716</v>
      </c>
      <c r="C4254" s="34" t="s">
        <v>2608</v>
      </c>
      <c r="D4254" s="14" t="s">
        <v>2717</v>
      </c>
    </row>
    <row r="4255" spans="1:4" ht="19.5" customHeight="1">
      <c r="A4255" s="8"/>
      <c r="B4255" s="24" t="s">
        <v>420</v>
      </c>
      <c r="C4255" s="30" t="s">
        <v>2609</v>
      </c>
      <c r="D4255" s="14" t="s">
        <v>422</v>
      </c>
    </row>
    <row r="4256" spans="1:4" ht="19.5" customHeight="1">
      <c r="A4256" s="8"/>
      <c r="B4256" s="24" t="s">
        <v>420</v>
      </c>
      <c r="C4256" s="30" t="s">
        <v>2609</v>
      </c>
      <c r="D4256" s="14" t="s">
        <v>422</v>
      </c>
    </row>
    <row r="4257" spans="1:4" ht="19.5" customHeight="1">
      <c r="A4257" s="8"/>
      <c r="B4257" s="38" t="s">
        <v>2780</v>
      </c>
      <c r="C4257" s="34" t="s">
        <v>2608</v>
      </c>
      <c r="D4257" s="14" t="s">
        <v>442</v>
      </c>
    </row>
    <row r="4258" spans="1:4" ht="19.5" customHeight="1">
      <c r="A4258" s="8"/>
      <c r="B4258" s="38" t="s">
        <v>2772</v>
      </c>
      <c r="C4258" s="36">
        <v>4</v>
      </c>
      <c r="D4258" s="14" t="s">
        <v>2377</v>
      </c>
    </row>
    <row r="4259" spans="1:4" ht="19.5" customHeight="1">
      <c r="A4259" s="8"/>
      <c r="B4259" s="38" t="s">
        <v>2781</v>
      </c>
      <c r="C4259" s="36">
        <v>1</v>
      </c>
      <c r="D4259" s="14" t="s">
        <v>2342</v>
      </c>
    </row>
    <row r="4260" spans="1:4" ht="19.5" customHeight="1">
      <c r="A4260" s="8"/>
      <c r="B4260" s="38" t="s">
        <v>2784</v>
      </c>
      <c r="C4260" s="36">
        <v>1</v>
      </c>
      <c r="D4260" s="14" t="s">
        <v>562</v>
      </c>
    </row>
    <row r="4261" spans="1:4" ht="19.5" customHeight="1">
      <c r="A4261" s="8"/>
      <c r="B4261" s="38" t="s">
        <v>2720</v>
      </c>
      <c r="C4261" s="36">
        <v>4</v>
      </c>
      <c r="D4261" s="14" t="s">
        <v>1105</v>
      </c>
    </row>
    <row r="4262" spans="1:4" ht="19.5" customHeight="1">
      <c r="A4262" s="40"/>
      <c r="B4262" s="14"/>
      <c r="C4262" s="14"/>
      <c r="D4262" s="14"/>
    </row>
    <row r="4263" spans="1:4" ht="19.5" customHeight="1">
      <c r="A4263" s="40"/>
      <c r="B4263" s="14"/>
      <c r="C4263" s="14"/>
      <c r="D4263" s="14"/>
    </row>
    <row r="4264" spans="1:4" ht="19.5" customHeight="1">
      <c r="A4264" s="40"/>
      <c r="B4264" s="14"/>
      <c r="C4264" s="14"/>
      <c r="D4264" s="14"/>
    </row>
    <row r="4265" spans="1:4" ht="19.5" customHeight="1">
      <c r="A4265" s="8" t="s">
        <v>1767</v>
      </c>
      <c r="B4265" s="26" t="s">
        <v>2487</v>
      </c>
      <c r="C4265" s="34" t="s">
        <v>2608</v>
      </c>
      <c r="D4265" s="14" t="s">
        <v>781</v>
      </c>
    </row>
    <row r="4266" spans="1:4" ht="19.5" customHeight="1">
      <c r="A4266" s="8"/>
      <c r="B4266" s="26" t="s">
        <v>2785</v>
      </c>
      <c r="C4266" s="34" t="s">
        <v>2608</v>
      </c>
      <c r="D4266" s="14" t="s">
        <v>2786</v>
      </c>
    </row>
    <row r="4267" spans="1:4" ht="19.5" customHeight="1">
      <c r="A4267" s="8"/>
      <c r="B4267" s="26" t="s">
        <v>1062</v>
      </c>
      <c r="C4267" s="34" t="s">
        <v>2608</v>
      </c>
      <c r="D4267" s="14" t="s">
        <v>1064</v>
      </c>
    </row>
    <row r="4268" spans="1:4" ht="19.5" customHeight="1">
      <c r="A4268" s="8"/>
      <c r="B4268" s="26" t="s">
        <v>1067</v>
      </c>
      <c r="C4268" s="34" t="s">
        <v>2608</v>
      </c>
      <c r="D4268" s="14" t="s">
        <v>1068</v>
      </c>
    </row>
    <row r="4269" spans="1:4" ht="19.5" customHeight="1">
      <c r="A4269" s="8"/>
      <c r="B4269" s="26" t="s">
        <v>2787</v>
      </c>
      <c r="C4269" s="34" t="s">
        <v>2608</v>
      </c>
      <c r="D4269" s="14" t="s">
        <v>2788</v>
      </c>
    </row>
    <row r="4270" spans="1:4" ht="19.5" customHeight="1">
      <c r="A4270" s="8"/>
      <c r="B4270" s="26" t="s">
        <v>2789</v>
      </c>
      <c r="C4270" s="36">
        <v>1</v>
      </c>
      <c r="D4270" s="14" t="s">
        <v>2790</v>
      </c>
    </row>
    <row r="4271" spans="1:4" ht="19.5" customHeight="1">
      <c r="A4271" s="8"/>
      <c r="B4271" s="26" t="s">
        <v>838</v>
      </c>
      <c r="C4271" s="30" t="s">
        <v>2791</v>
      </c>
      <c r="D4271" s="14" t="s">
        <v>840</v>
      </c>
    </row>
    <row r="4272" spans="1:4" ht="19.5" customHeight="1">
      <c r="A4272" s="8"/>
      <c r="B4272" s="38" t="s">
        <v>2598</v>
      </c>
      <c r="C4272" s="34" t="s">
        <v>2792</v>
      </c>
      <c r="D4272" s="14" t="s">
        <v>2599</v>
      </c>
    </row>
    <row r="4273" spans="1:4" ht="19.5" customHeight="1">
      <c r="A4273" s="8"/>
      <c r="B4273" s="26" t="s">
        <v>864</v>
      </c>
      <c r="C4273" s="36">
        <v>1</v>
      </c>
      <c r="D4273" s="14" t="s">
        <v>865</v>
      </c>
    </row>
    <row r="4274" spans="1:4" ht="19.5" customHeight="1">
      <c r="A4274" s="8"/>
      <c r="B4274" s="26" t="s">
        <v>966</v>
      </c>
      <c r="C4274" s="36">
        <v>1</v>
      </c>
      <c r="D4274" s="14" t="s">
        <v>967</v>
      </c>
    </row>
    <row r="4275" spans="1:4" ht="19.5" customHeight="1">
      <c r="A4275" s="8"/>
      <c r="B4275" s="26" t="s">
        <v>1059</v>
      </c>
      <c r="C4275" s="36">
        <v>1</v>
      </c>
      <c r="D4275" s="14" t="s">
        <v>1061</v>
      </c>
    </row>
    <row r="4276" spans="1:4" ht="19.5" customHeight="1">
      <c r="A4276" s="8"/>
      <c r="B4276" s="26" t="s">
        <v>2793</v>
      </c>
      <c r="C4276" s="36">
        <v>1</v>
      </c>
      <c r="D4276" s="14" t="s">
        <v>2794</v>
      </c>
    </row>
    <row r="4277" spans="1:4" ht="19.5" customHeight="1">
      <c r="A4277" s="8"/>
      <c r="B4277" s="26" t="s">
        <v>2795</v>
      </c>
      <c r="C4277" s="36">
        <v>1</v>
      </c>
      <c r="D4277" s="14" t="s">
        <v>2796</v>
      </c>
    </row>
    <row r="4278" spans="1:4" ht="19.5" customHeight="1">
      <c r="A4278" s="8"/>
      <c r="B4278" s="26" t="s">
        <v>2797</v>
      </c>
      <c r="C4278" s="30" t="s">
        <v>2798</v>
      </c>
      <c r="D4278" s="14" t="s">
        <v>2799</v>
      </c>
    </row>
    <row r="4279" spans="1:4" ht="19.5" customHeight="1">
      <c r="A4279" s="8" t="s">
        <v>1770</v>
      </c>
      <c r="B4279" s="26" t="s">
        <v>2487</v>
      </c>
      <c r="C4279" s="34" t="s">
        <v>2608</v>
      </c>
      <c r="D4279" s="14" t="s">
        <v>781</v>
      </c>
    </row>
    <row r="4280" spans="1:4" ht="19.5" customHeight="1">
      <c r="A4280" s="8"/>
      <c r="B4280" s="26" t="s">
        <v>2785</v>
      </c>
      <c r="C4280" s="34" t="s">
        <v>2608</v>
      </c>
      <c r="D4280" s="14" t="s">
        <v>2786</v>
      </c>
    </row>
    <row r="4281" spans="1:4" ht="15" customHeight="1">
      <c r="A4281" s="8"/>
      <c r="B4281" s="26" t="s">
        <v>1062</v>
      </c>
      <c r="C4281" s="34" t="s">
        <v>2608</v>
      </c>
      <c r="D4281" s="14" t="s">
        <v>1064</v>
      </c>
    </row>
    <row r="4282" spans="1:4" ht="15" customHeight="1">
      <c r="A4282" s="8"/>
      <c r="B4282" s="26" t="s">
        <v>1067</v>
      </c>
      <c r="C4282" s="34" t="s">
        <v>2608</v>
      </c>
      <c r="D4282" s="14" t="s">
        <v>1068</v>
      </c>
    </row>
    <row r="4283" spans="1:4" ht="15" customHeight="1">
      <c r="A4283" s="8"/>
      <c r="B4283" s="26" t="s">
        <v>2787</v>
      </c>
      <c r="C4283" s="34" t="s">
        <v>2608</v>
      </c>
      <c r="D4283" s="14" t="s">
        <v>2788</v>
      </c>
    </row>
    <row r="4284" spans="1:4" ht="15" customHeight="1">
      <c r="A4284" s="8"/>
      <c r="B4284" s="26" t="s">
        <v>2789</v>
      </c>
      <c r="C4284" s="36">
        <v>1</v>
      </c>
      <c r="D4284" s="14" t="s">
        <v>2790</v>
      </c>
    </row>
    <row r="4285" spans="1:4" ht="15" customHeight="1">
      <c r="A4285" s="8"/>
      <c r="B4285" s="26" t="s">
        <v>838</v>
      </c>
      <c r="C4285" s="30" t="s">
        <v>2791</v>
      </c>
      <c r="D4285" s="14" t="s">
        <v>840</v>
      </c>
    </row>
    <row r="4286" spans="1:4" ht="15" customHeight="1">
      <c r="A4286" s="8"/>
      <c r="B4286" s="38" t="s">
        <v>2598</v>
      </c>
      <c r="C4286" s="34" t="s">
        <v>2792</v>
      </c>
      <c r="D4286" s="14" t="s">
        <v>2599</v>
      </c>
    </row>
    <row r="4287" spans="1:4" ht="15" customHeight="1">
      <c r="A4287" s="8"/>
      <c r="B4287" s="26" t="s">
        <v>864</v>
      </c>
      <c r="C4287" s="36">
        <v>1</v>
      </c>
      <c r="D4287" s="14" t="s">
        <v>865</v>
      </c>
    </row>
    <row r="4288" spans="1:4" ht="15" customHeight="1">
      <c r="A4288" s="8"/>
      <c r="B4288" s="26" t="s">
        <v>966</v>
      </c>
      <c r="C4288" s="36">
        <v>1</v>
      </c>
      <c r="D4288" s="14" t="s">
        <v>967</v>
      </c>
    </row>
    <row r="4289" spans="1:4" ht="15" customHeight="1">
      <c r="A4289" s="8"/>
      <c r="B4289" s="26" t="s">
        <v>2800</v>
      </c>
      <c r="C4289" s="36">
        <v>1</v>
      </c>
      <c r="D4289" s="14" t="s">
        <v>2801</v>
      </c>
    </row>
    <row r="4290" spans="1:4" ht="15" customHeight="1">
      <c r="A4290" s="8"/>
      <c r="B4290" s="26" t="s">
        <v>2802</v>
      </c>
      <c r="C4290" s="36">
        <v>1</v>
      </c>
      <c r="D4290" s="14" t="s">
        <v>2803</v>
      </c>
    </row>
    <row r="4291" spans="1:4" ht="15" customHeight="1">
      <c r="A4291" s="8"/>
      <c r="B4291" s="26" t="s">
        <v>2793</v>
      </c>
      <c r="C4291" s="36">
        <v>1</v>
      </c>
      <c r="D4291" s="14" t="s">
        <v>2794</v>
      </c>
    </row>
    <row r="4292" spans="1:4" ht="15" customHeight="1">
      <c r="A4292" s="8"/>
      <c r="B4292" s="26" t="s">
        <v>2795</v>
      </c>
      <c r="C4292" s="36">
        <v>1</v>
      </c>
      <c r="D4292" s="14" t="s">
        <v>2796</v>
      </c>
    </row>
    <row r="4293" spans="1:4" ht="15" customHeight="1">
      <c r="A4293" s="8"/>
      <c r="B4293" s="26" t="s">
        <v>2797</v>
      </c>
      <c r="C4293" s="30" t="s">
        <v>2798</v>
      </c>
      <c r="D4293" s="14" t="s">
        <v>2799</v>
      </c>
    </row>
    <row r="4294" spans="1:4" ht="15" customHeight="1">
      <c r="A4294" s="8" t="s">
        <v>1772</v>
      </c>
      <c r="B4294" s="26" t="s">
        <v>2487</v>
      </c>
      <c r="C4294" s="34" t="s">
        <v>2608</v>
      </c>
      <c r="D4294" s="14" t="s">
        <v>781</v>
      </c>
    </row>
    <row r="4295" spans="1:4" ht="15" customHeight="1">
      <c r="A4295" s="8"/>
      <c r="B4295" s="26" t="s">
        <v>2785</v>
      </c>
      <c r="C4295" s="34" t="s">
        <v>2608</v>
      </c>
      <c r="D4295" s="14" t="s">
        <v>2786</v>
      </c>
    </row>
    <row r="4296" spans="1:4" ht="15" customHeight="1">
      <c r="A4296" s="8"/>
      <c r="B4296" s="26" t="s">
        <v>1062</v>
      </c>
      <c r="C4296" s="34" t="s">
        <v>2608</v>
      </c>
      <c r="D4296" s="14" t="s">
        <v>1064</v>
      </c>
    </row>
    <row r="4297" spans="1:4" ht="15" customHeight="1">
      <c r="A4297" s="8"/>
      <c r="B4297" s="26" t="s">
        <v>1067</v>
      </c>
      <c r="C4297" s="34" t="s">
        <v>2608</v>
      </c>
      <c r="D4297" s="14" t="s">
        <v>1068</v>
      </c>
    </row>
    <row r="4298" spans="1:4" ht="15" customHeight="1">
      <c r="A4298" s="8"/>
      <c r="B4298" s="26" t="s">
        <v>2787</v>
      </c>
      <c r="C4298" s="34" t="s">
        <v>2608</v>
      </c>
      <c r="D4298" s="14" t="s">
        <v>2788</v>
      </c>
    </row>
    <row r="4299" spans="1:4" ht="15" customHeight="1">
      <c r="A4299" s="8"/>
      <c r="B4299" s="26" t="s">
        <v>2789</v>
      </c>
      <c r="C4299" s="36">
        <v>1</v>
      </c>
      <c r="D4299" s="14" t="s">
        <v>2790</v>
      </c>
    </row>
    <row r="4300" spans="1:4" ht="15" customHeight="1">
      <c r="A4300" s="8"/>
      <c r="B4300" s="26" t="s">
        <v>838</v>
      </c>
      <c r="C4300" s="30" t="s">
        <v>2791</v>
      </c>
      <c r="D4300" s="14" t="s">
        <v>840</v>
      </c>
    </row>
    <row r="4301" spans="1:4" ht="15" customHeight="1">
      <c r="A4301" s="8"/>
      <c r="B4301" s="38" t="s">
        <v>2598</v>
      </c>
      <c r="C4301" s="34" t="s">
        <v>2792</v>
      </c>
      <c r="D4301" s="14" t="s">
        <v>2599</v>
      </c>
    </row>
    <row r="4302" spans="1:4" ht="15" customHeight="1">
      <c r="A4302" s="8"/>
      <c r="B4302" s="26" t="s">
        <v>854</v>
      </c>
      <c r="C4302" s="36">
        <v>1</v>
      </c>
      <c r="D4302" s="14" t="s">
        <v>856</v>
      </c>
    </row>
    <row r="4303" spans="1:4" ht="15" customHeight="1">
      <c r="A4303" s="8"/>
      <c r="B4303" s="26" t="s">
        <v>852</v>
      </c>
      <c r="C4303" s="36">
        <v>2</v>
      </c>
      <c r="D4303" s="14" t="s">
        <v>853</v>
      </c>
    </row>
    <row r="4304" spans="1:4" ht="15" customHeight="1">
      <c r="A4304" s="8"/>
      <c r="B4304" s="26" t="s">
        <v>857</v>
      </c>
      <c r="C4304" s="36">
        <v>1</v>
      </c>
      <c r="D4304" s="14" t="s">
        <v>858</v>
      </c>
    </row>
    <row r="4305" spans="1:4" ht="15" customHeight="1">
      <c r="A4305" s="8"/>
      <c r="B4305" s="26" t="s">
        <v>859</v>
      </c>
      <c r="C4305" s="36">
        <v>1</v>
      </c>
      <c r="D4305" s="14" t="s">
        <v>860</v>
      </c>
    </row>
    <row r="4306" spans="1:4" ht="15" customHeight="1">
      <c r="A4306" s="8"/>
      <c r="B4306" s="26" t="s">
        <v>2793</v>
      </c>
      <c r="C4306" s="36">
        <v>1</v>
      </c>
      <c r="D4306" s="14" t="s">
        <v>2794</v>
      </c>
    </row>
    <row r="4307" spans="1:4" ht="15" customHeight="1">
      <c r="A4307" s="8"/>
      <c r="B4307" s="26" t="s">
        <v>2795</v>
      </c>
      <c r="C4307" s="36">
        <v>1</v>
      </c>
      <c r="D4307" s="14" t="s">
        <v>2796</v>
      </c>
    </row>
    <row r="4308" spans="1:4" ht="15" customHeight="1">
      <c r="A4308" s="8"/>
      <c r="B4308" s="26" t="s">
        <v>2797</v>
      </c>
      <c r="C4308" s="30" t="s">
        <v>2798</v>
      </c>
      <c r="D4308" s="14" t="s">
        <v>2799</v>
      </c>
    </row>
    <row r="4309" spans="1:4" ht="15" customHeight="1">
      <c r="A4309" s="35"/>
      <c r="B4309" s="38"/>
      <c r="C4309" s="36"/>
      <c r="D4309" s="14"/>
    </row>
    <row r="4310" spans="1:4" ht="15" customHeight="1">
      <c r="A4310" s="8" t="s">
        <v>1774</v>
      </c>
      <c r="B4310" s="26" t="s">
        <v>2492</v>
      </c>
      <c r="C4310" s="34" t="s">
        <v>2608</v>
      </c>
      <c r="D4310" s="14" t="s">
        <v>785</v>
      </c>
    </row>
    <row r="4311" spans="1:4" ht="15" customHeight="1">
      <c r="A4311" s="8"/>
      <c r="B4311" s="26" t="s">
        <v>2785</v>
      </c>
      <c r="C4311" s="34" t="s">
        <v>2608</v>
      </c>
      <c r="D4311" s="14" t="s">
        <v>2786</v>
      </c>
    </row>
    <row r="4312" spans="1:4" ht="19.5" customHeight="1">
      <c r="A4312" s="8"/>
      <c r="B4312" s="26" t="s">
        <v>1062</v>
      </c>
      <c r="C4312" s="34" t="s">
        <v>2608</v>
      </c>
      <c r="D4312" s="14" t="s">
        <v>1064</v>
      </c>
    </row>
    <row r="4313" spans="1:4" ht="19.5" customHeight="1">
      <c r="A4313" s="8"/>
      <c r="B4313" s="26" t="s">
        <v>1067</v>
      </c>
      <c r="C4313" s="34" t="s">
        <v>2608</v>
      </c>
      <c r="D4313" s="14" t="s">
        <v>1068</v>
      </c>
    </row>
    <row r="4314" spans="1:4" ht="19.5" customHeight="1">
      <c r="A4314" s="8"/>
      <c r="B4314" s="26" t="s">
        <v>2787</v>
      </c>
      <c r="C4314" s="34" t="s">
        <v>2608</v>
      </c>
      <c r="D4314" s="14" t="s">
        <v>2788</v>
      </c>
    </row>
    <row r="4315" spans="1:4" ht="19.5" customHeight="1">
      <c r="A4315" s="8"/>
      <c r="B4315" s="26" t="s">
        <v>2789</v>
      </c>
      <c r="C4315" s="36">
        <v>1</v>
      </c>
      <c r="D4315" s="14" t="s">
        <v>2790</v>
      </c>
    </row>
    <row r="4316" spans="1:4" ht="19.5" customHeight="1">
      <c r="A4316" s="8"/>
      <c r="B4316" s="26" t="s">
        <v>838</v>
      </c>
      <c r="C4316" s="30" t="s">
        <v>2791</v>
      </c>
      <c r="D4316" s="14" t="s">
        <v>840</v>
      </c>
    </row>
    <row r="4317" spans="1:4" ht="19.5" customHeight="1">
      <c r="A4317" s="8"/>
      <c r="B4317" s="38" t="s">
        <v>2598</v>
      </c>
      <c r="C4317" s="34" t="s">
        <v>2792</v>
      </c>
      <c r="D4317" s="14" t="s">
        <v>2599</v>
      </c>
    </row>
    <row r="4318" spans="1:4" ht="19.5" customHeight="1">
      <c r="A4318" s="8"/>
      <c r="B4318" s="26" t="s">
        <v>864</v>
      </c>
      <c r="C4318" s="36">
        <v>1</v>
      </c>
      <c r="D4318" s="14" t="s">
        <v>865</v>
      </c>
    </row>
    <row r="4319" spans="1:4" ht="19.5" customHeight="1">
      <c r="A4319" s="8"/>
      <c r="B4319" s="26" t="s">
        <v>966</v>
      </c>
      <c r="C4319" s="36">
        <v>1</v>
      </c>
      <c r="D4319" s="14" t="s">
        <v>967</v>
      </c>
    </row>
    <row r="4320" spans="1:4" ht="19.5" customHeight="1">
      <c r="A4320" s="8"/>
      <c r="B4320" s="26" t="s">
        <v>1059</v>
      </c>
      <c r="C4320" s="36">
        <v>1</v>
      </c>
      <c r="D4320" s="14" t="s">
        <v>1061</v>
      </c>
    </row>
    <row r="4321" spans="1:4" ht="19.5" customHeight="1">
      <c r="A4321" s="8"/>
      <c r="B4321" s="26" t="s">
        <v>2793</v>
      </c>
      <c r="C4321" s="36">
        <v>1</v>
      </c>
      <c r="D4321" s="14" t="s">
        <v>2794</v>
      </c>
    </row>
    <row r="4322" spans="1:4" ht="19.5" customHeight="1">
      <c r="A4322" s="8"/>
      <c r="B4322" s="26" t="s">
        <v>2795</v>
      </c>
      <c r="C4322" s="36">
        <v>1</v>
      </c>
      <c r="D4322" s="14" t="s">
        <v>2796</v>
      </c>
    </row>
    <row r="4323" spans="1:4" ht="19.5" customHeight="1">
      <c r="A4323" s="8"/>
      <c r="B4323" s="26" t="s">
        <v>2797</v>
      </c>
      <c r="C4323" s="30" t="s">
        <v>2798</v>
      </c>
      <c r="D4323" s="14" t="s">
        <v>2799</v>
      </c>
    </row>
    <row r="4324" spans="1:4" ht="19.5" customHeight="1">
      <c r="A4324" s="8" t="s">
        <v>1776</v>
      </c>
      <c r="B4324" s="26" t="s">
        <v>2492</v>
      </c>
      <c r="C4324" s="34" t="s">
        <v>2608</v>
      </c>
      <c r="D4324" s="14" t="s">
        <v>785</v>
      </c>
    </row>
    <row r="4325" spans="1:4" ht="19.5" customHeight="1">
      <c r="A4325" s="8"/>
      <c r="B4325" s="26" t="s">
        <v>2785</v>
      </c>
      <c r="C4325" s="34" t="s">
        <v>2608</v>
      </c>
      <c r="D4325" s="14" t="s">
        <v>2786</v>
      </c>
    </row>
    <row r="4326" spans="1:4" ht="19.5" customHeight="1">
      <c r="A4326" s="8"/>
      <c r="B4326" s="26" t="s">
        <v>1062</v>
      </c>
      <c r="C4326" s="34" t="s">
        <v>2608</v>
      </c>
      <c r="D4326" s="14" t="s">
        <v>1064</v>
      </c>
    </row>
    <row r="4327" spans="1:4" ht="19.5" customHeight="1">
      <c r="A4327" s="8"/>
      <c r="B4327" s="26" t="s">
        <v>1067</v>
      </c>
      <c r="C4327" s="34" t="s">
        <v>2608</v>
      </c>
      <c r="D4327" s="14" t="s">
        <v>1068</v>
      </c>
    </row>
    <row r="4328" spans="1:4" ht="19.5" customHeight="1">
      <c r="A4328" s="8"/>
      <c r="B4328" s="26" t="s">
        <v>2787</v>
      </c>
      <c r="C4328" s="34" t="s">
        <v>2608</v>
      </c>
      <c r="D4328" s="14" t="s">
        <v>2788</v>
      </c>
    </row>
    <row r="4329" spans="1:4" ht="19.5" customHeight="1">
      <c r="A4329" s="8"/>
      <c r="B4329" s="26" t="s">
        <v>2789</v>
      </c>
      <c r="C4329" s="36">
        <v>1</v>
      </c>
      <c r="D4329" s="14" t="s">
        <v>2790</v>
      </c>
    </row>
    <row r="4330" spans="1:4" ht="19.5" customHeight="1">
      <c r="A4330" s="8"/>
      <c r="B4330" s="26" t="s">
        <v>838</v>
      </c>
      <c r="C4330" s="30" t="s">
        <v>2791</v>
      </c>
      <c r="D4330" s="14" t="s">
        <v>840</v>
      </c>
    </row>
    <row r="4331" spans="1:4" ht="15" customHeight="1">
      <c r="A4331" s="8"/>
      <c r="B4331" s="38" t="s">
        <v>2598</v>
      </c>
      <c r="C4331" s="34" t="s">
        <v>2792</v>
      </c>
      <c r="D4331" s="14" t="s">
        <v>2599</v>
      </c>
    </row>
    <row r="4332" spans="1:4" ht="15" customHeight="1">
      <c r="A4332" s="8"/>
      <c r="B4332" s="26" t="s">
        <v>864</v>
      </c>
      <c r="C4332" s="36">
        <v>1</v>
      </c>
      <c r="D4332" s="14" t="s">
        <v>865</v>
      </c>
    </row>
    <row r="4333" spans="1:4" ht="15" customHeight="1">
      <c r="A4333" s="8"/>
      <c r="B4333" s="26" t="s">
        <v>966</v>
      </c>
      <c r="C4333" s="36">
        <v>1</v>
      </c>
      <c r="D4333" s="14" t="s">
        <v>967</v>
      </c>
    </row>
    <row r="4334" spans="1:4" ht="15" customHeight="1">
      <c r="A4334" s="8"/>
      <c r="B4334" s="26" t="s">
        <v>2800</v>
      </c>
      <c r="C4334" s="36">
        <v>1</v>
      </c>
      <c r="D4334" s="14" t="s">
        <v>2801</v>
      </c>
    </row>
    <row r="4335" spans="1:4" ht="15" customHeight="1">
      <c r="A4335" s="8"/>
      <c r="B4335" s="26" t="s">
        <v>2802</v>
      </c>
      <c r="C4335" s="36">
        <v>1</v>
      </c>
      <c r="D4335" s="14" t="s">
        <v>2803</v>
      </c>
    </row>
    <row r="4336" spans="1:4" ht="15" customHeight="1">
      <c r="A4336" s="8"/>
      <c r="B4336" s="26" t="s">
        <v>2793</v>
      </c>
      <c r="C4336" s="36">
        <v>1</v>
      </c>
      <c r="D4336" s="14" t="s">
        <v>2794</v>
      </c>
    </row>
    <row r="4337" spans="1:4" ht="15" customHeight="1">
      <c r="A4337" s="8"/>
      <c r="B4337" s="26" t="s">
        <v>2795</v>
      </c>
      <c r="C4337" s="36">
        <v>1</v>
      </c>
      <c r="D4337" s="14" t="s">
        <v>2796</v>
      </c>
    </row>
    <row r="4338" spans="1:4" ht="15" customHeight="1">
      <c r="A4338" s="8"/>
      <c r="B4338" s="26" t="s">
        <v>2797</v>
      </c>
      <c r="C4338" s="30" t="s">
        <v>2798</v>
      </c>
      <c r="D4338" s="14" t="s">
        <v>2799</v>
      </c>
    </row>
    <row r="4339" spans="1:4" ht="15" customHeight="1">
      <c r="A4339" s="8" t="s">
        <v>1778</v>
      </c>
      <c r="B4339" s="26" t="s">
        <v>2492</v>
      </c>
      <c r="C4339" s="34" t="s">
        <v>2608</v>
      </c>
      <c r="D4339" s="14" t="s">
        <v>785</v>
      </c>
    </row>
    <row r="4340" spans="1:4" ht="15" customHeight="1">
      <c r="A4340" s="8"/>
      <c r="B4340" s="26" t="s">
        <v>2785</v>
      </c>
      <c r="C4340" s="34" t="s">
        <v>2608</v>
      </c>
      <c r="D4340" s="14" t="s">
        <v>2786</v>
      </c>
    </row>
    <row r="4341" spans="1:4" ht="15" customHeight="1">
      <c r="A4341" s="8"/>
      <c r="B4341" s="26" t="s">
        <v>1062</v>
      </c>
      <c r="C4341" s="34" t="s">
        <v>2608</v>
      </c>
      <c r="D4341" s="14" t="s">
        <v>1064</v>
      </c>
    </row>
    <row r="4342" spans="1:4" ht="15" customHeight="1">
      <c r="A4342" s="8"/>
      <c r="B4342" s="26" t="s">
        <v>1067</v>
      </c>
      <c r="C4342" s="34" t="s">
        <v>2608</v>
      </c>
      <c r="D4342" s="14" t="s">
        <v>1068</v>
      </c>
    </row>
    <row r="4343" spans="1:4" ht="15" customHeight="1">
      <c r="A4343" s="8"/>
      <c r="B4343" s="26" t="s">
        <v>2787</v>
      </c>
      <c r="C4343" s="34" t="s">
        <v>2608</v>
      </c>
      <c r="D4343" s="14" t="s">
        <v>2788</v>
      </c>
    </row>
    <row r="4344" spans="1:4" ht="15" customHeight="1">
      <c r="A4344" s="8"/>
      <c r="B4344" s="26" t="s">
        <v>2789</v>
      </c>
      <c r="C4344" s="36">
        <v>1</v>
      </c>
      <c r="D4344" s="14" t="s">
        <v>2790</v>
      </c>
    </row>
    <row r="4345" spans="1:4" ht="15" customHeight="1">
      <c r="A4345" s="8"/>
      <c r="B4345" s="26" t="s">
        <v>838</v>
      </c>
      <c r="C4345" s="30" t="s">
        <v>2791</v>
      </c>
      <c r="D4345" s="14" t="s">
        <v>840</v>
      </c>
    </row>
    <row r="4346" spans="1:4" ht="15" customHeight="1">
      <c r="A4346" s="8"/>
      <c r="B4346" s="38" t="s">
        <v>2598</v>
      </c>
      <c r="C4346" s="34" t="s">
        <v>2792</v>
      </c>
      <c r="D4346" s="14" t="s">
        <v>2599</v>
      </c>
    </row>
    <row r="4347" spans="1:4" ht="15" customHeight="1">
      <c r="A4347" s="8"/>
      <c r="B4347" s="26" t="s">
        <v>854</v>
      </c>
      <c r="C4347" s="36">
        <v>1</v>
      </c>
      <c r="D4347" s="14" t="s">
        <v>856</v>
      </c>
    </row>
    <row r="4348" spans="1:4" ht="15" customHeight="1">
      <c r="A4348" s="8"/>
      <c r="B4348" s="26" t="s">
        <v>852</v>
      </c>
      <c r="C4348" s="36">
        <v>2</v>
      </c>
      <c r="D4348" s="14" t="s">
        <v>853</v>
      </c>
    </row>
    <row r="4349" spans="1:4" ht="15" customHeight="1">
      <c r="A4349" s="8"/>
      <c r="B4349" s="26" t="s">
        <v>857</v>
      </c>
      <c r="C4349" s="36">
        <v>1</v>
      </c>
      <c r="D4349" s="14" t="s">
        <v>858</v>
      </c>
    </row>
    <row r="4350" spans="1:4" ht="15" customHeight="1">
      <c r="A4350" s="8"/>
      <c r="B4350" s="26" t="s">
        <v>859</v>
      </c>
      <c r="C4350" s="36">
        <v>1</v>
      </c>
      <c r="D4350" s="14" t="s">
        <v>860</v>
      </c>
    </row>
    <row r="4351" spans="1:4" ht="15" customHeight="1">
      <c r="A4351" s="8"/>
      <c r="B4351" s="26" t="s">
        <v>2793</v>
      </c>
      <c r="C4351" s="36">
        <v>1</v>
      </c>
      <c r="D4351" s="14" t="s">
        <v>2794</v>
      </c>
    </row>
    <row r="4352" spans="1:4" ht="15" customHeight="1">
      <c r="A4352" s="8"/>
      <c r="B4352" s="26" t="s">
        <v>2795</v>
      </c>
      <c r="C4352" s="36">
        <v>1</v>
      </c>
      <c r="D4352" s="14" t="s">
        <v>2796</v>
      </c>
    </row>
    <row r="4353" spans="1:4" ht="15" customHeight="1">
      <c r="A4353" s="8"/>
      <c r="B4353" s="26" t="s">
        <v>2797</v>
      </c>
      <c r="C4353" s="30" t="s">
        <v>2798</v>
      </c>
      <c r="D4353" s="14" t="s">
        <v>2799</v>
      </c>
    </row>
    <row r="4354" spans="1:4" ht="19.5" customHeight="1">
      <c r="A4354" s="8" t="s">
        <v>1780</v>
      </c>
      <c r="B4354" s="26" t="s">
        <v>2471</v>
      </c>
      <c r="C4354" s="34" t="s">
        <v>2608</v>
      </c>
      <c r="D4354" s="14" t="s">
        <v>773</v>
      </c>
    </row>
    <row r="4355" spans="1:4" ht="19.5" customHeight="1">
      <c r="A4355" s="8"/>
      <c r="B4355" s="26" t="s">
        <v>2785</v>
      </c>
      <c r="C4355" s="34" t="s">
        <v>2608</v>
      </c>
      <c r="D4355" s="14" t="s">
        <v>2786</v>
      </c>
    </row>
    <row r="4356" spans="1:4" ht="19.5" customHeight="1">
      <c r="A4356" s="8"/>
      <c r="B4356" s="26" t="s">
        <v>1062</v>
      </c>
      <c r="C4356" s="34" t="s">
        <v>2608</v>
      </c>
      <c r="D4356" s="14" t="s">
        <v>1064</v>
      </c>
    </row>
    <row r="4357" spans="1:4" ht="19.5" customHeight="1">
      <c r="A4357" s="8"/>
      <c r="B4357" s="26" t="s">
        <v>1067</v>
      </c>
      <c r="C4357" s="34" t="s">
        <v>2608</v>
      </c>
      <c r="D4357" s="14" t="s">
        <v>1068</v>
      </c>
    </row>
    <row r="4358" spans="1:4" ht="19.5" customHeight="1">
      <c r="A4358" s="8"/>
      <c r="B4358" s="26" t="s">
        <v>2787</v>
      </c>
      <c r="C4358" s="34" t="s">
        <v>2608</v>
      </c>
      <c r="D4358" s="14" t="s">
        <v>2788</v>
      </c>
    </row>
    <row r="4359" spans="1:4" ht="19.5" customHeight="1">
      <c r="A4359" s="8"/>
      <c r="B4359" s="26" t="s">
        <v>2789</v>
      </c>
      <c r="C4359" s="36">
        <v>1</v>
      </c>
      <c r="D4359" s="14" t="s">
        <v>2790</v>
      </c>
    </row>
    <row r="4360" spans="1:4" ht="19.5" customHeight="1">
      <c r="A4360" s="8"/>
      <c r="B4360" s="26" t="s">
        <v>838</v>
      </c>
      <c r="C4360" s="30" t="s">
        <v>2791</v>
      </c>
      <c r="D4360" s="14" t="s">
        <v>840</v>
      </c>
    </row>
    <row r="4361" spans="1:4" ht="19.5" customHeight="1">
      <c r="A4361" s="8"/>
      <c r="B4361" s="38" t="s">
        <v>2598</v>
      </c>
      <c r="C4361" s="34" t="s">
        <v>2792</v>
      </c>
      <c r="D4361" s="14" t="s">
        <v>2599</v>
      </c>
    </row>
    <row r="4362" spans="1:4" ht="19.5" customHeight="1">
      <c r="A4362" s="8"/>
      <c r="B4362" s="26" t="s">
        <v>864</v>
      </c>
      <c r="C4362" s="36">
        <v>1</v>
      </c>
      <c r="D4362" s="14" t="s">
        <v>865</v>
      </c>
    </row>
    <row r="4363" spans="1:4" ht="19.5" customHeight="1">
      <c r="A4363" s="8"/>
      <c r="B4363" s="26" t="s">
        <v>966</v>
      </c>
      <c r="C4363" s="36">
        <v>1</v>
      </c>
      <c r="D4363" s="14" t="s">
        <v>967</v>
      </c>
    </row>
    <row r="4364" spans="1:4" ht="19.5" customHeight="1">
      <c r="A4364" s="8"/>
      <c r="B4364" s="26" t="s">
        <v>1059</v>
      </c>
      <c r="C4364" s="36">
        <v>1</v>
      </c>
      <c r="D4364" s="14" t="s">
        <v>1061</v>
      </c>
    </row>
    <row r="4365" spans="1:4" ht="19.5" customHeight="1">
      <c r="A4365" s="8"/>
      <c r="B4365" s="26" t="s">
        <v>2793</v>
      </c>
      <c r="C4365" s="36">
        <v>1</v>
      </c>
      <c r="D4365" s="14" t="s">
        <v>2794</v>
      </c>
    </row>
    <row r="4366" spans="1:4" ht="19.5" customHeight="1">
      <c r="A4366" s="8"/>
      <c r="B4366" s="26" t="s">
        <v>2795</v>
      </c>
      <c r="C4366" s="36">
        <v>1</v>
      </c>
      <c r="D4366" s="14" t="s">
        <v>2796</v>
      </c>
    </row>
    <row r="4367" spans="1:4" ht="19.5" customHeight="1">
      <c r="A4367" s="8"/>
      <c r="B4367" s="26" t="s">
        <v>2797</v>
      </c>
      <c r="C4367" s="30" t="s">
        <v>2798</v>
      </c>
      <c r="D4367" s="14" t="s">
        <v>2799</v>
      </c>
    </row>
    <row r="4368" spans="1:4" ht="19.5" customHeight="1">
      <c r="A4368" s="8" t="s">
        <v>1782</v>
      </c>
      <c r="B4368" s="26" t="s">
        <v>2471</v>
      </c>
      <c r="C4368" s="34" t="s">
        <v>2608</v>
      </c>
      <c r="D4368" s="14" t="s">
        <v>773</v>
      </c>
    </row>
    <row r="4369" spans="1:4" ht="19.5" customHeight="1">
      <c r="A4369" s="8"/>
      <c r="B4369" s="26" t="s">
        <v>2785</v>
      </c>
      <c r="C4369" s="34" t="s">
        <v>2608</v>
      </c>
      <c r="D4369" s="14" t="s">
        <v>2786</v>
      </c>
    </row>
    <row r="4370" spans="1:4" ht="19.5" customHeight="1">
      <c r="A4370" s="8"/>
      <c r="B4370" s="26" t="s">
        <v>1062</v>
      </c>
      <c r="C4370" s="34" t="s">
        <v>2608</v>
      </c>
      <c r="D4370" s="14" t="s">
        <v>1064</v>
      </c>
    </row>
    <row r="4371" spans="1:4" ht="19.5" customHeight="1">
      <c r="A4371" s="8"/>
      <c r="B4371" s="26" t="s">
        <v>1067</v>
      </c>
      <c r="C4371" s="34" t="s">
        <v>2608</v>
      </c>
      <c r="D4371" s="14" t="s">
        <v>1068</v>
      </c>
    </row>
    <row r="4372" spans="1:4" ht="19.5" customHeight="1">
      <c r="A4372" s="8"/>
      <c r="B4372" s="26" t="s">
        <v>2787</v>
      </c>
      <c r="C4372" s="34" t="s">
        <v>2608</v>
      </c>
      <c r="D4372" s="14" t="s">
        <v>2788</v>
      </c>
    </row>
    <row r="4373" spans="1:4" ht="19.5" customHeight="1">
      <c r="A4373" s="8"/>
      <c r="B4373" s="26" t="s">
        <v>2789</v>
      </c>
      <c r="C4373" s="36">
        <v>1</v>
      </c>
      <c r="D4373" s="14" t="s">
        <v>2790</v>
      </c>
    </row>
    <row r="4374" spans="1:4" ht="19.5" customHeight="1">
      <c r="A4374" s="8"/>
      <c r="B4374" s="26" t="s">
        <v>838</v>
      </c>
      <c r="C4374" s="30" t="s">
        <v>2791</v>
      </c>
      <c r="D4374" s="14" t="s">
        <v>840</v>
      </c>
    </row>
    <row r="4375" spans="1:4" ht="19.5" customHeight="1">
      <c r="A4375" s="8"/>
      <c r="B4375" s="38" t="s">
        <v>2598</v>
      </c>
      <c r="C4375" s="34" t="s">
        <v>2792</v>
      </c>
      <c r="D4375" s="14" t="s">
        <v>2599</v>
      </c>
    </row>
    <row r="4376" spans="1:4" ht="19.5" customHeight="1">
      <c r="A4376" s="8"/>
      <c r="B4376" s="26" t="s">
        <v>864</v>
      </c>
      <c r="C4376" s="36">
        <v>1</v>
      </c>
      <c r="D4376" s="14" t="s">
        <v>865</v>
      </c>
    </row>
    <row r="4377" spans="1:4" ht="19.5" customHeight="1">
      <c r="A4377" s="8"/>
      <c r="B4377" s="26" t="s">
        <v>966</v>
      </c>
      <c r="C4377" s="36">
        <v>1</v>
      </c>
      <c r="D4377" s="14" t="s">
        <v>967</v>
      </c>
    </row>
    <row r="4378" spans="1:4" ht="19.5" customHeight="1">
      <c r="A4378" s="8"/>
      <c r="B4378" s="26" t="s">
        <v>2800</v>
      </c>
      <c r="C4378" s="36">
        <v>1</v>
      </c>
      <c r="D4378" s="14" t="s">
        <v>2801</v>
      </c>
    </row>
    <row r="4379" spans="1:4" ht="19.5" customHeight="1">
      <c r="A4379" s="8"/>
      <c r="B4379" s="26" t="s">
        <v>2802</v>
      </c>
      <c r="C4379" s="36">
        <v>1</v>
      </c>
      <c r="D4379" s="14" t="s">
        <v>2803</v>
      </c>
    </row>
    <row r="4380" spans="1:4" ht="19.5" customHeight="1">
      <c r="A4380" s="8"/>
      <c r="B4380" s="26" t="s">
        <v>2793</v>
      </c>
      <c r="C4380" s="36">
        <v>1</v>
      </c>
      <c r="D4380" s="14" t="s">
        <v>2794</v>
      </c>
    </row>
    <row r="4381" spans="1:4" ht="19.5" customHeight="1">
      <c r="A4381" s="8"/>
      <c r="B4381" s="26" t="s">
        <v>2795</v>
      </c>
      <c r="C4381" s="36">
        <v>1</v>
      </c>
      <c r="D4381" s="14" t="s">
        <v>2796</v>
      </c>
    </row>
    <row r="4382" spans="1:4" ht="19.5" customHeight="1">
      <c r="A4382" s="8"/>
      <c r="B4382" s="26" t="s">
        <v>2797</v>
      </c>
      <c r="C4382" s="30" t="s">
        <v>2798</v>
      </c>
      <c r="D4382" s="14" t="s">
        <v>2799</v>
      </c>
    </row>
    <row r="4383" spans="1:4" ht="19.5" customHeight="1">
      <c r="A4383" s="35"/>
      <c r="B4383" s="38"/>
      <c r="C4383" s="36"/>
      <c r="D4383" s="14"/>
    </row>
    <row r="4384" spans="1:4" ht="19.5" customHeight="1">
      <c r="A4384" s="35"/>
      <c r="B4384" s="38"/>
      <c r="C4384" s="36"/>
      <c r="D4384" s="14"/>
    </row>
    <row r="4385" spans="1:4" ht="19.5" customHeight="1">
      <c r="A4385" s="35"/>
      <c r="B4385" s="38"/>
      <c r="C4385" s="36"/>
      <c r="D4385" s="14"/>
    </row>
    <row r="4386" spans="1:4" ht="19.5" customHeight="1">
      <c r="A4386" s="35"/>
      <c r="B4386" s="38"/>
      <c r="C4386" s="36"/>
      <c r="D4386" s="14"/>
    </row>
    <row r="4387" spans="1:4" ht="19.5" customHeight="1">
      <c r="A4387" s="35"/>
      <c r="B4387" s="38"/>
      <c r="C4387" s="36"/>
      <c r="D4387" s="14"/>
    </row>
    <row r="4388" spans="1:4" ht="19.5" customHeight="1">
      <c r="A4388" s="35"/>
      <c r="B4388" s="38"/>
      <c r="C4388" s="36"/>
      <c r="D4388" s="14"/>
    </row>
    <row r="4389" spans="1:4" ht="19.5" customHeight="1">
      <c r="A4389" s="35"/>
      <c r="B4389" s="38"/>
      <c r="C4389" s="36"/>
      <c r="D4389" s="14"/>
    </row>
    <row r="4390" spans="1:4" ht="19.5" customHeight="1">
      <c r="A4390" s="35"/>
      <c r="B4390" s="38"/>
      <c r="C4390" s="36"/>
      <c r="D4390" s="14"/>
    </row>
    <row r="4391" spans="1:4" ht="19.5" customHeight="1">
      <c r="A4391" s="8" t="s">
        <v>1784</v>
      </c>
      <c r="B4391" s="26" t="s">
        <v>2471</v>
      </c>
      <c r="C4391" s="34" t="s">
        <v>2608</v>
      </c>
      <c r="D4391" s="14" t="s">
        <v>773</v>
      </c>
    </row>
    <row r="4392" spans="1:4" ht="19.5" customHeight="1">
      <c r="A4392" s="8"/>
      <c r="B4392" s="26" t="s">
        <v>2785</v>
      </c>
      <c r="C4392" s="34" t="s">
        <v>2608</v>
      </c>
      <c r="D4392" s="14" t="s">
        <v>2786</v>
      </c>
    </row>
    <row r="4393" spans="1:4" ht="19.5" customHeight="1">
      <c r="A4393" s="8"/>
      <c r="B4393" s="26" t="s">
        <v>1062</v>
      </c>
      <c r="C4393" s="34" t="s">
        <v>2608</v>
      </c>
      <c r="D4393" s="14" t="s">
        <v>1064</v>
      </c>
    </row>
    <row r="4394" spans="1:4" ht="19.5" customHeight="1">
      <c r="A4394" s="8"/>
      <c r="B4394" s="26" t="s">
        <v>1067</v>
      </c>
      <c r="C4394" s="34" t="s">
        <v>2608</v>
      </c>
      <c r="D4394" s="14" t="s">
        <v>1068</v>
      </c>
    </row>
    <row r="4395" spans="1:4" ht="19.5" customHeight="1">
      <c r="A4395" s="8"/>
      <c r="B4395" s="26" t="s">
        <v>2787</v>
      </c>
      <c r="C4395" s="34" t="s">
        <v>2608</v>
      </c>
      <c r="D4395" s="14" t="s">
        <v>2788</v>
      </c>
    </row>
    <row r="4396" spans="1:4" ht="19.5" customHeight="1">
      <c r="A4396" s="8"/>
      <c r="B4396" s="26" t="s">
        <v>2789</v>
      </c>
      <c r="C4396" s="36">
        <v>1</v>
      </c>
      <c r="D4396" s="14" t="s">
        <v>2790</v>
      </c>
    </row>
    <row r="4397" spans="1:4" ht="19.5" customHeight="1">
      <c r="A4397" s="8"/>
      <c r="B4397" s="26" t="s">
        <v>838</v>
      </c>
      <c r="C4397" s="30" t="s">
        <v>2791</v>
      </c>
      <c r="D4397" s="14" t="s">
        <v>840</v>
      </c>
    </row>
    <row r="4398" spans="1:4" ht="19.5" customHeight="1">
      <c r="A4398" s="8"/>
      <c r="B4398" s="38" t="s">
        <v>2598</v>
      </c>
      <c r="C4398" s="34" t="s">
        <v>2792</v>
      </c>
      <c r="D4398" s="14" t="s">
        <v>2599</v>
      </c>
    </row>
    <row r="4399" spans="1:4" ht="19.5" customHeight="1">
      <c r="A4399" s="8"/>
      <c r="B4399" s="26" t="s">
        <v>854</v>
      </c>
      <c r="C4399" s="36">
        <v>1</v>
      </c>
      <c r="D4399" s="14" t="s">
        <v>856</v>
      </c>
    </row>
    <row r="4400" spans="1:4" ht="19.5" customHeight="1">
      <c r="A4400" s="8"/>
      <c r="B4400" s="26" t="s">
        <v>852</v>
      </c>
      <c r="C4400" s="36">
        <v>2</v>
      </c>
      <c r="D4400" s="14" t="s">
        <v>853</v>
      </c>
    </row>
    <row r="4401" spans="1:4" ht="19.5" customHeight="1">
      <c r="A4401" s="8"/>
      <c r="B4401" s="26" t="s">
        <v>857</v>
      </c>
      <c r="C4401" s="36">
        <v>1</v>
      </c>
      <c r="D4401" s="14" t="s">
        <v>858</v>
      </c>
    </row>
    <row r="4402" spans="1:4" ht="19.5" customHeight="1">
      <c r="A4402" s="8"/>
      <c r="B4402" s="26" t="s">
        <v>859</v>
      </c>
      <c r="C4402" s="36">
        <v>1</v>
      </c>
      <c r="D4402" s="14" t="s">
        <v>860</v>
      </c>
    </row>
    <row r="4403" spans="1:4" ht="19.5" customHeight="1">
      <c r="A4403" s="8"/>
      <c r="B4403" s="26" t="s">
        <v>2793</v>
      </c>
      <c r="C4403" s="36">
        <v>1</v>
      </c>
      <c r="D4403" s="14" t="s">
        <v>2794</v>
      </c>
    </row>
    <row r="4404" spans="1:4" ht="19.5" customHeight="1">
      <c r="A4404" s="8"/>
      <c r="B4404" s="26" t="s">
        <v>2795</v>
      </c>
      <c r="C4404" s="36">
        <v>1</v>
      </c>
      <c r="D4404" s="14" t="s">
        <v>2796</v>
      </c>
    </row>
    <row r="4405" spans="1:4" ht="19.5" customHeight="1">
      <c r="A4405" s="8"/>
      <c r="B4405" s="26" t="s">
        <v>2797</v>
      </c>
      <c r="C4405" s="30" t="s">
        <v>2798</v>
      </c>
      <c r="D4405" s="14" t="s">
        <v>2799</v>
      </c>
    </row>
    <row r="4406" spans="1:4" ht="19.5" customHeight="1">
      <c r="A4406" s="8" t="s">
        <v>1786</v>
      </c>
      <c r="B4406" s="26" t="s">
        <v>2475</v>
      </c>
      <c r="C4406" s="34" t="s">
        <v>2608</v>
      </c>
      <c r="D4406" s="14" t="s">
        <v>2476</v>
      </c>
    </row>
    <row r="4407" spans="1:4" ht="19.5" customHeight="1">
      <c r="A4407" s="8"/>
      <c r="B4407" s="26" t="s">
        <v>2785</v>
      </c>
      <c r="C4407" s="34" t="s">
        <v>2608</v>
      </c>
      <c r="D4407" s="14" t="s">
        <v>2786</v>
      </c>
    </row>
    <row r="4408" spans="1:4" ht="19.5" customHeight="1">
      <c r="A4408" s="8"/>
      <c r="B4408" s="26" t="s">
        <v>1062</v>
      </c>
      <c r="C4408" s="34" t="s">
        <v>2608</v>
      </c>
      <c r="D4408" s="14" t="s">
        <v>1064</v>
      </c>
    </row>
    <row r="4409" spans="1:4" ht="19.5" customHeight="1">
      <c r="A4409" s="8"/>
      <c r="B4409" s="26" t="s">
        <v>1067</v>
      </c>
      <c r="C4409" s="34" t="s">
        <v>2608</v>
      </c>
      <c r="D4409" s="14" t="s">
        <v>1068</v>
      </c>
    </row>
    <row r="4410" spans="1:4" ht="19.5" customHeight="1">
      <c r="A4410" s="8"/>
      <c r="B4410" s="26" t="s">
        <v>2787</v>
      </c>
      <c r="C4410" s="34" t="s">
        <v>2608</v>
      </c>
      <c r="D4410" s="14" t="s">
        <v>2788</v>
      </c>
    </row>
    <row r="4411" spans="1:4" ht="19.5" customHeight="1">
      <c r="A4411" s="8"/>
      <c r="B4411" s="26" t="s">
        <v>2789</v>
      </c>
      <c r="C4411" s="36">
        <v>1</v>
      </c>
      <c r="D4411" s="14" t="s">
        <v>2790</v>
      </c>
    </row>
    <row r="4412" spans="1:4" ht="19.5" customHeight="1">
      <c r="A4412" s="8"/>
      <c r="B4412" s="26" t="s">
        <v>838</v>
      </c>
      <c r="C4412" s="30" t="s">
        <v>2791</v>
      </c>
      <c r="D4412" s="14" t="s">
        <v>840</v>
      </c>
    </row>
    <row r="4413" spans="1:4" ht="19.5" customHeight="1">
      <c r="A4413" s="8"/>
      <c r="B4413" s="38" t="s">
        <v>2598</v>
      </c>
      <c r="C4413" s="34" t="s">
        <v>2792</v>
      </c>
      <c r="D4413" s="14" t="s">
        <v>2599</v>
      </c>
    </row>
    <row r="4414" spans="1:4" ht="19.5" customHeight="1">
      <c r="A4414" s="8"/>
      <c r="B4414" s="26" t="s">
        <v>864</v>
      </c>
      <c r="C4414" s="36">
        <v>1</v>
      </c>
      <c r="D4414" s="14" t="s">
        <v>865</v>
      </c>
    </row>
    <row r="4415" spans="1:4" ht="19.5" customHeight="1">
      <c r="A4415" s="8"/>
      <c r="B4415" s="26" t="s">
        <v>966</v>
      </c>
      <c r="C4415" s="36">
        <v>1</v>
      </c>
      <c r="D4415" s="14" t="s">
        <v>967</v>
      </c>
    </row>
    <row r="4416" spans="1:4" ht="19.5" customHeight="1">
      <c r="A4416" s="8"/>
      <c r="B4416" s="26" t="s">
        <v>1059</v>
      </c>
      <c r="C4416" s="36">
        <v>1</v>
      </c>
      <c r="D4416" s="14" t="s">
        <v>1061</v>
      </c>
    </row>
    <row r="4417" spans="1:4" ht="19.5" customHeight="1">
      <c r="A4417" s="8"/>
      <c r="B4417" s="26" t="s">
        <v>2793</v>
      </c>
      <c r="C4417" s="36">
        <v>1</v>
      </c>
      <c r="D4417" s="14" t="s">
        <v>2794</v>
      </c>
    </row>
    <row r="4418" spans="1:4" ht="19.5" customHeight="1">
      <c r="A4418" s="8"/>
      <c r="B4418" s="26" t="s">
        <v>2795</v>
      </c>
      <c r="C4418" s="36">
        <v>1</v>
      </c>
      <c r="D4418" s="14" t="s">
        <v>2796</v>
      </c>
    </row>
    <row r="4419" spans="1:4" ht="19.5" customHeight="1">
      <c r="A4419" s="8"/>
      <c r="B4419" s="26" t="s">
        <v>2797</v>
      </c>
      <c r="C4419" s="30" t="s">
        <v>2798</v>
      </c>
      <c r="D4419" s="14" t="s">
        <v>2799</v>
      </c>
    </row>
    <row r="4420" spans="1:4" ht="19.5" customHeight="1">
      <c r="A4420" s="35"/>
      <c r="B4420" s="38"/>
      <c r="C4420" s="36"/>
      <c r="D4420" s="14"/>
    </row>
    <row r="4421" spans="1:4" ht="19.5" customHeight="1">
      <c r="A4421" s="35"/>
      <c r="B4421" s="38"/>
      <c r="C4421" s="36"/>
      <c r="D4421" s="14"/>
    </row>
    <row r="4422" spans="1:4" ht="19.5" customHeight="1">
      <c r="A4422" s="35"/>
      <c r="B4422" s="38"/>
      <c r="C4422" s="36"/>
      <c r="D4422" s="14"/>
    </row>
    <row r="4423" spans="1:4" ht="19.5" customHeight="1">
      <c r="A4423" s="35"/>
      <c r="B4423" s="38"/>
      <c r="C4423" s="36"/>
      <c r="D4423" s="14"/>
    </row>
    <row r="4424" spans="1:4" ht="19.5" customHeight="1">
      <c r="A4424" s="35"/>
      <c r="B4424" s="38"/>
      <c r="C4424" s="36"/>
      <c r="D4424" s="14"/>
    </row>
    <row r="4425" spans="1:4" ht="19.5" customHeight="1">
      <c r="A4425" s="35"/>
      <c r="B4425" s="38"/>
      <c r="C4425" s="36"/>
      <c r="D4425" s="14"/>
    </row>
    <row r="4426" spans="1:4" ht="19.5" customHeight="1">
      <c r="A4426" s="35"/>
      <c r="B4426" s="38"/>
      <c r="C4426" s="36"/>
      <c r="D4426" s="14"/>
    </row>
    <row r="4427" spans="1:4" ht="19.5" customHeight="1">
      <c r="A4427" s="35"/>
      <c r="B4427" s="38"/>
      <c r="C4427" s="36"/>
      <c r="D4427" s="14"/>
    </row>
    <row r="4428" spans="1:4" ht="19.5" customHeight="1">
      <c r="A4428" s="35"/>
      <c r="B4428" s="38"/>
      <c r="C4428" s="36"/>
      <c r="D4428" s="14"/>
    </row>
    <row r="4429" spans="1:4" ht="19.5" customHeight="1">
      <c r="A4429" s="8" t="s">
        <v>1788</v>
      </c>
      <c r="B4429" s="26" t="s">
        <v>2475</v>
      </c>
      <c r="C4429" s="34" t="s">
        <v>2608</v>
      </c>
      <c r="D4429" s="14" t="s">
        <v>2476</v>
      </c>
    </row>
    <row r="4430" spans="1:4" ht="19.5" customHeight="1">
      <c r="A4430" s="8"/>
      <c r="B4430" s="26" t="s">
        <v>2785</v>
      </c>
      <c r="C4430" s="34" t="s">
        <v>2608</v>
      </c>
      <c r="D4430" s="14" t="s">
        <v>2786</v>
      </c>
    </row>
    <row r="4431" spans="1:4" ht="19.5" customHeight="1">
      <c r="A4431" s="8"/>
      <c r="B4431" s="26" t="s">
        <v>1062</v>
      </c>
      <c r="C4431" s="34" t="s">
        <v>2608</v>
      </c>
      <c r="D4431" s="14" t="s">
        <v>1064</v>
      </c>
    </row>
    <row r="4432" spans="1:4" ht="19.5" customHeight="1">
      <c r="A4432" s="8"/>
      <c r="B4432" s="26" t="s">
        <v>1067</v>
      </c>
      <c r="C4432" s="34" t="s">
        <v>2608</v>
      </c>
      <c r="D4432" s="14" t="s">
        <v>1068</v>
      </c>
    </row>
    <row r="4433" spans="1:4" ht="19.5" customHeight="1">
      <c r="A4433" s="8"/>
      <c r="B4433" s="26" t="s">
        <v>2787</v>
      </c>
      <c r="C4433" s="34" t="s">
        <v>2608</v>
      </c>
      <c r="D4433" s="14" t="s">
        <v>2788</v>
      </c>
    </row>
    <row r="4434" spans="1:4" ht="19.5" customHeight="1">
      <c r="A4434" s="8"/>
      <c r="B4434" s="26" t="s">
        <v>2789</v>
      </c>
      <c r="C4434" s="36">
        <v>1</v>
      </c>
      <c r="D4434" s="14" t="s">
        <v>2790</v>
      </c>
    </row>
    <row r="4435" spans="1:4" ht="19.5" customHeight="1">
      <c r="A4435" s="8"/>
      <c r="B4435" s="26" t="s">
        <v>838</v>
      </c>
      <c r="C4435" s="30" t="s">
        <v>2791</v>
      </c>
      <c r="D4435" s="14" t="s">
        <v>840</v>
      </c>
    </row>
    <row r="4436" spans="1:4" ht="19.5" customHeight="1">
      <c r="A4436" s="8"/>
      <c r="B4436" s="38" t="s">
        <v>2598</v>
      </c>
      <c r="C4436" s="34" t="s">
        <v>2792</v>
      </c>
      <c r="D4436" s="14" t="s">
        <v>2599</v>
      </c>
    </row>
    <row r="4437" spans="1:4" ht="19.5" customHeight="1">
      <c r="A4437" s="8"/>
      <c r="B4437" s="26" t="s">
        <v>864</v>
      </c>
      <c r="C4437" s="36">
        <v>1</v>
      </c>
      <c r="D4437" s="14" t="s">
        <v>865</v>
      </c>
    </row>
    <row r="4438" spans="1:4" ht="19.5" customHeight="1">
      <c r="A4438" s="8"/>
      <c r="B4438" s="26" t="s">
        <v>966</v>
      </c>
      <c r="C4438" s="36">
        <v>1</v>
      </c>
      <c r="D4438" s="14" t="s">
        <v>967</v>
      </c>
    </row>
    <row r="4439" spans="1:4" ht="19.5" customHeight="1">
      <c r="A4439" s="8"/>
      <c r="B4439" s="26" t="s">
        <v>2800</v>
      </c>
      <c r="C4439" s="36">
        <v>1</v>
      </c>
      <c r="D4439" s="14" t="s">
        <v>2801</v>
      </c>
    </row>
    <row r="4440" spans="1:4" ht="19.5" customHeight="1">
      <c r="A4440" s="8"/>
      <c r="B4440" s="26" t="s">
        <v>2802</v>
      </c>
      <c r="C4440" s="36">
        <v>1</v>
      </c>
      <c r="D4440" s="14" t="s">
        <v>2803</v>
      </c>
    </row>
    <row r="4441" spans="1:4" ht="19.5" customHeight="1">
      <c r="A4441" s="8"/>
      <c r="B4441" s="26" t="s">
        <v>2793</v>
      </c>
      <c r="C4441" s="36">
        <v>1</v>
      </c>
      <c r="D4441" s="14" t="s">
        <v>2794</v>
      </c>
    </row>
    <row r="4442" spans="1:4" ht="19.5" customHeight="1">
      <c r="A4442" s="8"/>
      <c r="B4442" s="26" t="s">
        <v>2795</v>
      </c>
      <c r="C4442" s="36">
        <v>1</v>
      </c>
      <c r="D4442" s="14" t="s">
        <v>2796</v>
      </c>
    </row>
    <row r="4443" spans="1:4" ht="19.5" customHeight="1">
      <c r="A4443" s="8"/>
      <c r="B4443" s="26" t="s">
        <v>2797</v>
      </c>
      <c r="C4443" s="30" t="s">
        <v>2798</v>
      </c>
      <c r="D4443" s="14" t="s">
        <v>2799</v>
      </c>
    </row>
    <row r="4444" spans="1:4" ht="19.5" customHeight="1">
      <c r="A4444" s="8" t="s">
        <v>1790</v>
      </c>
      <c r="B4444" s="26" t="s">
        <v>2475</v>
      </c>
      <c r="C4444" s="34" t="s">
        <v>2608</v>
      </c>
      <c r="D4444" s="14" t="s">
        <v>2476</v>
      </c>
    </row>
    <row r="4445" spans="1:4" ht="19.5" customHeight="1">
      <c r="A4445" s="8"/>
      <c r="B4445" s="26" t="s">
        <v>2785</v>
      </c>
      <c r="C4445" s="34" t="s">
        <v>2608</v>
      </c>
      <c r="D4445" s="14" t="s">
        <v>2786</v>
      </c>
    </row>
    <row r="4446" spans="1:4" ht="19.5" customHeight="1">
      <c r="A4446" s="8"/>
      <c r="B4446" s="26" t="s">
        <v>1062</v>
      </c>
      <c r="C4446" s="34" t="s">
        <v>2608</v>
      </c>
      <c r="D4446" s="14" t="s">
        <v>1064</v>
      </c>
    </row>
    <row r="4447" spans="1:4" ht="19.5" customHeight="1">
      <c r="A4447" s="8"/>
      <c r="B4447" s="26" t="s">
        <v>1067</v>
      </c>
      <c r="C4447" s="34" t="s">
        <v>2608</v>
      </c>
      <c r="D4447" s="14" t="s">
        <v>1068</v>
      </c>
    </row>
    <row r="4448" spans="1:4" ht="19.5" customHeight="1">
      <c r="A4448" s="8"/>
      <c r="B4448" s="26" t="s">
        <v>2787</v>
      </c>
      <c r="C4448" s="34" t="s">
        <v>2608</v>
      </c>
      <c r="D4448" s="14" t="s">
        <v>2788</v>
      </c>
    </row>
    <row r="4449" spans="1:4" ht="19.5" customHeight="1">
      <c r="A4449" s="8"/>
      <c r="B4449" s="26" t="s">
        <v>2789</v>
      </c>
      <c r="C4449" s="36">
        <v>1</v>
      </c>
      <c r="D4449" s="14" t="s">
        <v>2790</v>
      </c>
    </row>
    <row r="4450" spans="1:4" ht="19.5" customHeight="1">
      <c r="A4450" s="8"/>
      <c r="B4450" s="26" t="s">
        <v>838</v>
      </c>
      <c r="C4450" s="30" t="s">
        <v>2791</v>
      </c>
      <c r="D4450" s="14" t="s">
        <v>840</v>
      </c>
    </row>
    <row r="4451" spans="1:4" ht="19.5" customHeight="1">
      <c r="A4451" s="8"/>
      <c r="B4451" s="38" t="s">
        <v>2598</v>
      </c>
      <c r="C4451" s="34" t="s">
        <v>2792</v>
      </c>
      <c r="D4451" s="14" t="s">
        <v>2599</v>
      </c>
    </row>
    <row r="4452" spans="1:4" ht="19.5" customHeight="1">
      <c r="A4452" s="8"/>
      <c r="B4452" s="26" t="s">
        <v>854</v>
      </c>
      <c r="C4452" s="36">
        <v>1</v>
      </c>
      <c r="D4452" s="14" t="s">
        <v>856</v>
      </c>
    </row>
    <row r="4453" spans="1:4" ht="19.5" customHeight="1">
      <c r="A4453" s="8"/>
      <c r="B4453" s="26" t="s">
        <v>852</v>
      </c>
      <c r="C4453" s="36">
        <v>2</v>
      </c>
      <c r="D4453" s="14" t="s">
        <v>853</v>
      </c>
    </row>
    <row r="4454" spans="1:4" ht="19.5" customHeight="1">
      <c r="A4454" s="8"/>
      <c r="B4454" s="26" t="s">
        <v>857</v>
      </c>
      <c r="C4454" s="36">
        <v>1</v>
      </c>
      <c r="D4454" s="14" t="s">
        <v>858</v>
      </c>
    </row>
    <row r="4455" spans="1:4" ht="19.5" customHeight="1">
      <c r="A4455" s="8"/>
      <c r="B4455" s="26" t="s">
        <v>859</v>
      </c>
      <c r="C4455" s="36">
        <v>1</v>
      </c>
      <c r="D4455" s="14" t="s">
        <v>860</v>
      </c>
    </row>
    <row r="4456" spans="1:4" ht="19.5" customHeight="1">
      <c r="A4456" s="8"/>
      <c r="B4456" s="26" t="s">
        <v>2793</v>
      </c>
      <c r="C4456" s="36">
        <v>1</v>
      </c>
      <c r="D4456" s="14" t="s">
        <v>2794</v>
      </c>
    </row>
    <row r="4457" spans="1:4" ht="19.5" customHeight="1">
      <c r="A4457" s="8"/>
      <c r="B4457" s="26" t="s">
        <v>2795</v>
      </c>
      <c r="C4457" s="36">
        <v>1</v>
      </c>
      <c r="D4457" s="14" t="s">
        <v>2796</v>
      </c>
    </row>
    <row r="4458" spans="1:4" ht="15" customHeight="1">
      <c r="A4458" s="8"/>
      <c r="B4458" s="26" t="s">
        <v>2797</v>
      </c>
      <c r="C4458" s="30" t="s">
        <v>2798</v>
      </c>
      <c r="D4458" s="14" t="s">
        <v>2799</v>
      </c>
    </row>
    <row r="4459" spans="1:4" ht="15" customHeight="1">
      <c r="A4459" s="35"/>
      <c r="B4459" s="38"/>
      <c r="C4459" s="36"/>
      <c r="D4459" s="14"/>
    </row>
    <row r="4460" spans="1:4" ht="15" customHeight="1">
      <c r="A4460" s="35"/>
      <c r="B4460" s="38"/>
      <c r="C4460" s="36"/>
      <c r="D4460" s="14"/>
    </row>
    <row r="4461" spans="1:4" ht="15" customHeight="1">
      <c r="A4461" s="35"/>
      <c r="B4461" s="38"/>
      <c r="C4461" s="36"/>
      <c r="D4461" s="14"/>
    </row>
    <row r="4462" spans="1:4" ht="15" customHeight="1">
      <c r="A4462" s="35"/>
      <c r="B4462" s="38"/>
      <c r="C4462" s="36"/>
      <c r="D4462" s="14"/>
    </row>
    <row r="4463" spans="1:4" ht="15" customHeight="1">
      <c r="A4463" s="35"/>
      <c r="B4463" s="38"/>
      <c r="C4463" s="36"/>
      <c r="D4463" s="14"/>
    </row>
    <row r="4464" spans="1:4" ht="15" customHeight="1">
      <c r="A4464" s="35"/>
      <c r="B4464" s="38"/>
      <c r="C4464" s="36"/>
      <c r="D4464" s="14"/>
    </row>
    <row r="4465" spans="1:4" ht="15" customHeight="1">
      <c r="A4465" s="35"/>
      <c r="B4465" s="38"/>
      <c r="C4465" s="36"/>
      <c r="D4465" s="14"/>
    </row>
    <row r="4466" spans="1:4" ht="15" customHeight="1">
      <c r="A4466" s="35"/>
      <c r="B4466" s="38"/>
      <c r="C4466" s="36"/>
      <c r="D4466" s="14"/>
    </row>
    <row r="4467" spans="1:4" ht="15" customHeight="1">
      <c r="A4467" s="35"/>
      <c r="B4467" s="38"/>
      <c r="C4467" s="36"/>
      <c r="D4467" s="14"/>
    </row>
    <row r="4468" spans="1:4" ht="15" customHeight="1">
      <c r="A4468" s="8" t="s">
        <v>1792</v>
      </c>
      <c r="B4468" s="26" t="s">
        <v>2501</v>
      </c>
      <c r="C4468" s="34" t="s">
        <v>2608</v>
      </c>
      <c r="D4468" s="14" t="s">
        <v>792</v>
      </c>
    </row>
    <row r="4469" spans="1:4" ht="15" customHeight="1">
      <c r="A4469" s="8"/>
      <c r="B4469" s="26" t="s">
        <v>2785</v>
      </c>
      <c r="C4469" s="34" t="s">
        <v>2608</v>
      </c>
      <c r="D4469" s="14" t="s">
        <v>2786</v>
      </c>
    </row>
    <row r="4470" spans="1:4" ht="15" customHeight="1">
      <c r="A4470" s="8"/>
      <c r="B4470" s="26" t="s">
        <v>1062</v>
      </c>
      <c r="C4470" s="34" t="s">
        <v>2608</v>
      </c>
      <c r="D4470" s="14" t="s">
        <v>1064</v>
      </c>
    </row>
    <row r="4471" spans="1:4" ht="15" customHeight="1">
      <c r="A4471" s="8"/>
      <c r="B4471" s="26" t="s">
        <v>1067</v>
      </c>
      <c r="C4471" s="34" t="s">
        <v>2608</v>
      </c>
      <c r="D4471" s="14" t="s">
        <v>1068</v>
      </c>
    </row>
    <row r="4472" spans="1:4" ht="15" customHeight="1">
      <c r="A4472" s="8"/>
      <c r="B4472" s="26" t="s">
        <v>2787</v>
      </c>
      <c r="C4472" s="34" t="s">
        <v>2608</v>
      </c>
      <c r="D4472" s="14" t="s">
        <v>2788</v>
      </c>
    </row>
    <row r="4473" spans="1:4" ht="15" customHeight="1">
      <c r="A4473" s="8"/>
      <c r="B4473" s="26" t="s">
        <v>2789</v>
      </c>
      <c r="C4473" s="36">
        <v>1</v>
      </c>
      <c r="D4473" s="14" t="s">
        <v>2790</v>
      </c>
    </row>
    <row r="4474" spans="1:4" ht="15" customHeight="1">
      <c r="A4474" s="8"/>
      <c r="B4474" s="26" t="s">
        <v>841</v>
      </c>
      <c r="C4474" s="30" t="s">
        <v>2791</v>
      </c>
      <c r="D4474" s="14" t="s">
        <v>842</v>
      </c>
    </row>
    <row r="4475" spans="1:4" ht="15" customHeight="1">
      <c r="A4475" s="8"/>
      <c r="B4475" s="38" t="s">
        <v>2598</v>
      </c>
      <c r="C4475" s="34" t="s">
        <v>2792</v>
      </c>
      <c r="D4475" s="14" t="s">
        <v>2599</v>
      </c>
    </row>
    <row r="4476" spans="1:4" ht="15" customHeight="1">
      <c r="A4476" s="8"/>
      <c r="B4476" s="26" t="s">
        <v>864</v>
      </c>
      <c r="C4476" s="36">
        <v>1</v>
      </c>
      <c r="D4476" s="14" t="s">
        <v>865</v>
      </c>
    </row>
    <row r="4477" spans="1:4" ht="15" customHeight="1">
      <c r="A4477" s="8"/>
      <c r="B4477" s="26" t="s">
        <v>966</v>
      </c>
      <c r="C4477" s="36">
        <v>1</v>
      </c>
      <c r="D4477" s="14" t="s">
        <v>967</v>
      </c>
    </row>
    <row r="4478" spans="1:4" ht="15" customHeight="1">
      <c r="A4478" s="8"/>
      <c r="B4478" s="26" t="s">
        <v>1059</v>
      </c>
      <c r="C4478" s="36">
        <v>1</v>
      </c>
      <c r="D4478" s="14" t="s">
        <v>1061</v>
      </c>
    </row>
    <row r="4479" spans="1:4" ht="19.5" customHeight="1">
      <c r="A4479" s="8"/>
      <c r="B4479" s="26" t="s">
        <v>2793</v>
      </c>
      <c r="C4479" s="36">
        <v>1</v>
      </c>
      <c r="D4479" s="14" t="s">
        <v>2794</v>
      </c>
    </row>
    <row r="4480" spans="1:4" ht="16.5" customHeight="1">
      <c r="A4480" s="8"/>
      <c r="B4480" s="26" t="s">
        <v>2795</v>
      </c>
      <c r="C4480" s="36">
        <v>1</v>
      </c>
      <c r="D4480" s="14" t="s">
        <v>2796</v>
      </c>
    </row>
    <row r="4481" spans="1:4" ht="19.5" customHeight="1">
      <c r="A4481" s="8"/>
      <c r="B4481" s="26" t="s">
        <v>2797</v>
      </c>
      <c r="C4481" s="30" t="s">
        <v>2798</v>
      </c>
      <c r="D4481" s="14" t="s">
        <v>2799</v>
      </c>
    </row>
    <row r="4482" spans="1:4" ht="19.5" customHeight="1">
      <c r="A4482" s="8" t="s">
        <v>1794</v>
      </c>
      <c r="B4482" s="26" t="s">
        <v>2501</v>
      </c>
      <c r="C4482" s="34" t="s">
        <v>2608</v>
      </c>
      <c r="D4482" s="14" t="s">
        <v>792</v>
      </c>
    </row>
    <row r="4483" spans="1:4" ht="19.5" customHeight="1">
      <c r="A4483" s="8"/>
      <c r="B4483" s="26" t="s">
        <v>2785</v>
      </c>
      <c r="C4483" s="34" t="s">
        <v>2608</v>
      </c>
      <c r="D4483" s="14" t="s">
        <v>2786</v>
      </c>
    </row>
    <row r="4484" spans="1:4" ht="19.5" customHeight="1">
      <c r="A4484" s="8"/>
      <c r="B4484" s="26" t="s">
        <v>1062</v>
      </c>
      <c r="C4484" s="34" t="s">
        <v>2608</v>
      </c>
      <c r="D4484" s="14" t="s">
        <v>1064</v>
      </c>
    </row>
    <row r="4485" spans="1:4" ht="19.5" customHeight="1">
      <c r="A4485" s="8"/>
      <c r="B4485" s="26" t="s">
        <v>1067</v>
      </c>
      <c r="C4485" s="34" t="s">
        <v>2608</v>
      </c>
      <c r="D4485" s="14" t="s">
        <v>1068</v>
      </c>
    </row>
    <row r="4486" spans="1:4" ht="19.5" customHeight="1">
      <c r="A4486" s="8"/>
      <c r="B4486" s="26" t="s">
        <v>2787</v>
      </c>
      <c r="C4486" s="34" t="s">
        <v>2608</v>
      </c>
      <c r="D4486" s="14" t="s">
        <v>2788</v>
      </c>
    </row>
    <row r="4487" spans="1:4" ht="19.5" customHeight="1">
      <c r="A4487" s="8"/>
      <c r="B4487" s="26" t="s">
        <v>2789</v>
      </c>
      <c r="C4487" s="36">
        <v>1</v>
      </c>
      <c r="D4487" s="14" t="s">
        <v>2790</v>
      </c>
    </row>
    <row r="4488" spans="1:4" ht="19.5" customHeight="1">
      <c r="A4488" s="8"/>
      <c r="B4488" s="26" t="s">
        <v>841</v>
      </c>
      <c r="C4488" s="30" t="s">
        <v>2791</v>
      </c>
      <c r="D4488" s="14" t="s">
        <v>842</v>
      </c>
    </row>
    <row r="4489" spans="1:4" ht="19.5" customHeight="1">
      <c r="A4489" s="8"/>
      <c r="B4489" s="38" t="s">
        <v>2598</v>
      </c>
      <c r="C4489" s="34" t="s">
        <v>2792</v>
      </c>
      <c r="D4489" s="14" t="s">
        <v>2599</v>
      </c>
    </row>
    <row r="4490" spans="1:4" ht="19.5" customHeight="1">
      <c r="A4490" s="8"/>
      <c r="B4490" s="26" t="s">
        <v>864</v>
      </c>
      <c r="C4490" s="36">
        <v>1</v>
      </c>
      <c r="D4490" s="14" t="s">
        <v>865</v>
      </c>
    </row>
    <row r="4491" spans="1:4" ht="19.5" customHeight="1">
      <c r="A4491" s="8"/>
      <c r="B4491" s="26" t="s">
        <v>966</v>
      </c>
      <c r="C4491" s="36">
        <v>1</v>
      </c>
      <c r="D4491" s="14" t="s">
        <v>967</v>
      </c>
    </row>
    <row r="4492" spans="1:4" ht="19.5" customHeight="1">
      <c r="A4492" s="8"/>
      <c r="B4492" s="26" t="s">
        <v>2800</v>
      </c>
      <c r="C4492" s="36">
        <v>1</v>
      </c>
      <c r="D4492" s="14" t="s">
        <v>2801</v>
      </c>
    </row>
    <row r="4493" spans="1:4" ht="19.5" customHeight="1">
      <c r="A4493" s="8"/>
      <c r="B4493" s="26" t="s">
        <v>2802</v>
      </c>
      <c r="C4493" s="36">
        <v>1</v>
      </c>
      <c r="D4493" s="14" t="s">
        <v>2803</v>
      </c>
    </row>
    <row r="4494" spans="1:4" ht="19.5" customHeight="1">
      <c r="A4494" s="8"/>
      <c r="B4494" s="26" t="s">
        <v>2793</v>
      </c>
      <c r="C4494" s="36">
        <v>1</v>
      </c>
      <c r="D4494" s="14" t="s">
        <v>2794</v>
      </c>
    </row>
    <row r="4495" spans="1:4" ht="19.5" customHeight="1">
      <c r="A4495" s="8"/>
      <c r="B4495" s="26" t="s">
        <v>2795</v>
      </c>
      <c r="C4495" s="36">
        <v>1</v>
      </c>
      <c r="D4495" s="14" t="s">
        <v>2796</v>
      </c>
    </row>
    <row r="4496" spans="1:4" ht="19.5" customHeight="1">
      <c r="A4496" s="8"/>
      <c r="B4496" s="26" t="s">
        <v>2797</v>
      </c>
      <c r="C4496" s="30" t="s">
        <v>2798</v>
      </c>
      <c r="D4496" s="14" t="s">
        <v>2799</v>
      </c>
    </row>
    <row r="4497" spans="1:4" ht="19.5" customHeight="1">
      <c r="A4497" s="8" t="s">
        <v>1796</v>
      </c>
      <c r="B4497" s="26" t="s">
        <v>2501</v>
      </c>
      <c r="C4497" s="34" t="s">
        <v>2608</v>
      </c>
      <c r="D4497" s="14" t="s">
        <v>792</v>
      </c>
    </row>
    <row r="4498" spans="1:4" ht="15" customHeight="1">
      <c r="A4498" s="8"/>
      <c r="B4498" s="26" t="s">
        <v>2785</v>
      </c>
      <c r="C4498" s="34" t="s">
        <v>2608</v>
      </c>
      <c r="D4498" s="14" t="s">
        <v>2786</v>
      </c>
    </row>
    <row r="4499" spans="1:4" ht="15" customHeight="1">
      <c r="A4499" s="8"/>
      <c r="B4499" s="26" t="s">
        <v>1062</v>
      </c>
      <c r="C4499" s="34" t="s">
        <v>2608</v>
      </c>
      <c r="D4499" s="14" t="s">
        <v>1064</v>
      </c>
    </row>
    <row r="4500" spans="1:4" ht="15" customHeight="1">
      <c r="A4500" s="8"/>
      <c r="B4500" s="26" t="s">
        <v>1067</v>
      </c>
      <c r="C4500" s="34" t="s">
        <v>2608</v>
      </c>
      <c r="D4500" s="14" t="s">
        <v>1068</v>
      </c>
    </row>
    <row r="4501" spans="1:4" ht="15" customHeight="1">
      <c r="A4501" s="8"/>
      <c r="B4501" s="26" t="s">
        <v>2787</v>
      </c>
      <c r="C4501" s="34" t="s">
        <v>2608</v>
      </c>
      <c r="D4501" s="14" t="s">
        <v>2788</v>
      </c>
    </row>
    <row r="4502" spans="1:4" ht="15" customHeight="1">
      <c r="A4502" s="8"/>
      <c r="B4502" s="26" t="s">
        <v>2789</v>
      </c>
      <c r="C4502" s="36">
        <v>1</v>
      </c>
      <c r="D4502" s="14" t="s">
        <v>2790</v>
      </c>
    </row>
    <row r="4503" spans="1:4" ht="15" customHeight="1">
      <c r="A4503" s="8"/>
      <c r="B4503" s="26" t="s">
        <v>841</v>
      </c>
      <c r="C4503" s="30" t="s">
        <v>2791</v>
      </c>
      <c r="D4503" s="14" t="s">
        <v>842</v>
      </c>
    </row>
    <row r="4504" spans="1:4" ht="15" customHeight="1">
      <c r="A4504" s="8"/>
      <c r="B4504" s="38" t="s">
        <v>2598</v>
      </c>
      <c r="C4504" s="34" t="s">
        <v>2792</v>
      </c>
      <c r="D4504" s="14" t="s">
        <v>2599</v>
      </c>
    </row>
    <row r="4505" spans="1:4" ht="15" customHeight="1">
      <c r="A4505" s="8"/>
      <c r="B4505" s="26" t="s">
        <v>854</v>
      </c>
      <c r="C4505" s="36">
        <v>1</v>
      </c>
      <c r="D4505" s="14" t="s">
        <v>856</v>
      </c>
    </row>
    <row r="4506" spans="1:4" ht="15" customHeight="1">
      <c r="A4506" s="8"/>
      <c r="B4506" s="26" t="s">
        <v>852</v>
      </c>
      <c r="C4506" s="36">
        <v>2</v>
      </c>
      <c r="D4506" s="14" t="s">
        <v>853</v>
      </c>
    </row>
    <row r="4507" spans="1:4" ht="15" customHeight="1">
      <c r="A4507" s="8"/>
      <c r="B4507" s="26" t="s">
        <v>857</v>
      </c>
      <c r="C4507" s="36">
        <v>1</v>
      </c>
      <c r="D4507" s="14" t="s">
        <v>858</v>
      </c>
    </row>
    <row r="4508" spans="1:4" ht="15" customHeight="1">
      <c r="A4508" s="8"/>
      <c r="B4508" s="26" t="s">
        <v>859</v>
      </c>
      <c r="C4508" s="36">
        <v>1</v>
      </c>
      <c r="D4508" s="14" t="s">
        <v>860</v>
      </c>
    </row>
    <row r="4509" spans="1:4" ht="15" customHeight="1">
      <c r="A4509" s="8"/>
      <c r="B4509" s="26" t="s">
        <v>2793</v>
      </c>
      <c r="C4509" s="36">
        <v>1</v>
      </c>
      <c r="D4509" s="14" t="s">
        <v>2794</v>
      </c>
    </row>
    <row r="4510" spans="1:4" ht="15" customHeight="1">
      <c r="A4510" s="8"/>
      <c r="B4510" s="26" t="s">
        <v>2795</v>
      </c>
      <c r="C4510" s="36">
        <v>1</v>
      </c>
      <c r="D4510" s="14" t="s">
        <v>2796</v>
      </c>
    </row>
    <row r="4511" spans="1:4" ht="15" customHeight="1">
      <c r="A4511" s="8"/>
      <c r="B4511" s="26" t="s">
        <v>2797</v>
      </c>
      <c r="C4511" s="30" t="s">
        <v>2798</v>
      </c>
      <c r="D4511" s="14" t="s">
        <v>2799</v>
      </c>
    </row>
  </sheetData>
  <mergeCells count="281">
    <mergeCell ref="A4482:A4496"/>
    <mergeCell ref="A4497:A4511"/>
    <mergeCell ref="A4324:A4338"/>
    <mergeCell ref="A4339:A4353"/>
    <mergeCell ref="A4354:A4367"/>
    <mergeCell ref="A4368:A4382"/>
    <mergeCell ref="A4391:A4405"/>
    <mergeCell ref="A4406:A4419"/>
    <mergeCell ref="A4429:A4443"/>
    <mergeCell ref="A4444:A4458"/>
    <mergeCell ref="A4468:A4481"/>
    <mergeCell ref="A4200:A4209"/>
    <mergeCell ref="A4211:A4222"/>
    <mergeCell ref="A4223:A4235"/>
    <mergeCell ref="A4236:A4246"/>
    <mergeCell ref="A4250:A4261"/>
    <mergeCell ref="A4265:A4278"/>
    <mergeCell ref="A4279:A4293"/>
    <mergeCell ref="A4294:A4308"/>
    <mergeCell ref="A4310:A4323"/>
    <mergeCell ref="A4075:A4092"/>
    <mergeCell ref="A4093:A4110"/>
    <mergeCell ref="A4111:A4124"/>
    <mergeCell ref="A4125:A4132"/>
    <mergeCell ref="A4133:A4143"/>
    <mergeCell ref="A4144:A4154"/>
    <mergeCell ref="A4155:A4168"/>
    <mergeCell ref="A4172:A4185"/>
    <mergeCell ref="A4186:A4199"/>
    <mergeCell ref="A3957:A3972"/>
    <mergeCell ref="A3973:A3983"/>
    <mergeCell ref="A3986:A3996"/>
    <mergeCell ref="A4001:A4014"/>
    <mergeCell ref="A4016:A4029"/>
    <mergeCell ref="A4030:A4043"/>
    <mergeCell ref="A4044:A4046"/>
    <mergeCell ref="A4048:A4060"/>
    <mergeCell ref="A4061:A4073"/>
    <mergeCell ref="A3810:A3828"/>
    <mergeCell ref="A3833:A3853"/>
    <mergeCell ref="A3854:A3863"/>
    <mergeCell ref="A3864:A3874"/>
    <mergeCell ref="A3875:A3884"/>
    <mergeCell ref="A3885:A3895"/>
    <mergeCell ref="A3896:A3910"/>
    <mergeCell ref="A3919:A3934"/>
    <mergeCell ref="A3935:A3949"/>
    <mergeCell ref="A3689:A3702"/>
    <mergeCell ref="A3703:A3715"/>
    <mergeCell ref="A3719:A3731"/>
    <mergeCell ref="A3732:A3741"/>
    <mergeCell ref="A3745:A3754"/>
    <mergeCell ref="A3755:A3766"/>
    <mergeCell ref="A3767:A3779"/>
    <mergeCell ref="A3780:A3790"/>
    <mergeCell ref="A3794:A3805"/>
    <mergeCell ref="A3580:A3587"/>
    <mergeCell ref="A3591:A3598"/>
    <mergeCell ref="A3599:A3609"/>
    <mergeCell ref="A3610:A3620"/>
    <mergeCell ref="A3621:A3631"/>
    <mergeCell ref="A3635:A3645"/>
    <mergeCell ref="A3646:A3658"/>
    <mergeCell ref="A3662:A3674"/>
    <mergeCell ref="A3675:A3688"/>
    <mergeCell ref="A3406:A3423"/>
    <mergeCell ref="A3431:A3450"/>
    <mergeCell ref="A3451:A3470"/>
    <mergeCell ref="A3471:A3488"/>
    <mergeCell ref="A3490:A3507"/>
    <mergeCell ref="A3511:A3530"/>
    <mergeCell ref="A3532:A3551"/>
    <mergeCell ref="A3552:A3565"/>
    <mergeCell ref="A3566:A3579"/>
    <mergeCell ref="A3277:A3289"/>
    <mergeCell ref="A3290:A3302"/>
    <mergeCell ref="A3305:A3318"/>
    <mergeCell ref="A3319:A3332"/>
    <mergeCell ref="A3333:A3345"/>
    <mergeCell ref="A3346:A3358"/>
    <mergeCell ref="A3359:A3372"/>
    <mergeCell ref="A3373:A3386"/>
    <mergeCell ref="A3388:A3405"/>
    <mergeCell ref="A3163:A3176"/>
    <mergeCell ref="A3178:A3191"/>
    <mergeCell ref="A3192:A3205"/>
    <mergeCell ref="A3207:A3220"/>
    <mergeCell ref="A3221:A3234"/>
    <mergeCell ref="A3235:A3248"/>
    <mergeCell ref="A3257:A3270"/>
    <mergeCell ref="A3271:A3273"/>
    <mergeCell ref="A3274:A3276"/>
    <mergeCell ref="A3028:A3042"/>
    <mergeCell ref="A3043:A3057"/>
    <mergeCell ref="A3058:A3073"/>
    <mergeCell ref="A3074:A3089"/>
    <mergeCell ref="A3090:A3105"/>
    <mergeCell ref="A3106:A3121"/>
    <mergeCell ref="A3122:A3132"/>
    <mergeCell ref="A3133:A3143"/>
    <mergeCell ref="A3149:A3162"/>
    <mergeCell ref="A2891:A2901"/>
    <mergeCell ref="A2903:A2912"/>
    <mergeCell ref="A2913:A2922"/>
    <mergeCell ref="A2931:A2945"/>
    <mergeCell ref="A2947:A2961"/>
    <mergeCell ref="A2962:A2977"/>
    <mergeCell ref="A2978:A2993"/>
    <mergeCell ref="A2994:A3009"/>
    <mergeCell ref="A3010:A3025"/>
    <mergeCell ref="A2790:A2799"/>
    <mergeCell ref="A2800:A2809"/>
    <mergeCell ref="A2810:A2820"/>
    <mergeCell ref="A2821:A2831"/>
    <mergeCell ref="A2834:A2843"/>
    <mergeCell ref="A2849:A2858"/>
    <mergeCell ref="A2859:A2867"/>
    <mergeCell ref="A2868:A2877"/>
    <mergeCell ref="A2878:A2888"/>
    <mergeCell ref="A2573:A2593"/>
    <mergeCell ref="A2594:A2617"/>
    <mergeCell ref="A2618:A2641"/>
    <mergeCell ref="A2642:A2658"/>
    <mergeCell ref="A2663:A2680"/>
    <mergeCell ref="A2686:A2710"/>
    <mergeCell ref="A2716:A2741"/>
    <mergeCell ref="A2742:A2765"/>
    <mergeCell ref="A2766:A2789"/>
    <mergeCell ref="A2386:A2396"/>
    <mergeCell ref="A2400:A2411"/>
    <mergeCell ref="A2414:A2432"/>
    <mergeCell ref="A2439:A2457"/>
    <mergeCell ref="A2458:A2471"/>
    <mergeCell ref="A2481:A2495"/>
    <mergeCell ref="A2500:A2519"/>
    <mergeCell ref="A2527:A2547"/>
    <mergeCell ref="A2548:A2568"/>
    <mergeCell ref="A2266:A2279"/>
    <mergeCell ref="A2280:A2292"/>
    <mergeCell ref="A2293:A2305"/>
    <mergeCell ref="A2306:A2318"/>
    <mergeCell ref="A2323:A2335"/>
    <mergeCell ref="A2336:A2346"/>
    <mergeCell ref="A2350:A2360"/>
    <mergeCell ref="A2361:A2372"/>
    <mergeCell ref="A2373:A2385"/>
    <mergeCell ref="A2149:A2156"/>
    <mergeCell ref="A2159:A2169"/>
    <mergeCell ref="A2170:A2180"/>
    <mergeCell ref="A2184:A2194"/>
    <mergeCell ref="A2199:A2209"/>
    <mergeCell ref="A2210:A2219"/>
    <mergeCell ref="A2220:A2230"/>
    <mergeCell ref="A2238:A2251"/>
    <mergeCell ref="A2252:A2265"/>
    <mergeCell ref="A1997:A2014"/>
    <mergeCell ref="A2015:A2034"/>
    <mergeCell ref="A2039:A2058"/>
    <mergeCell ref="A2059:A2078"/>
    <mergeCell ref="A2085:A2098"/>
    <mergeCell ref="A2099:A2112"/>
    <mergeCell ref="A2118:A2131"/>
    <mergeCell ref="A2132:A2139"/>
    <mergeCell ref="A2140:A2147"/>
    <mergeCell ref="A1799:A1812"/>
    <mergeCell ref="A1814:A1831"/>
    <mergeCell ref="A1832:A1849"/>
    <mergeCell ref="A1858:A1874"/>
    <mergeCell ref="A1875:A1894"/>
    <mergeCell ref="A1905:A1924"/>
    <mergeCell ref="A1925:A1944"/>
    <mergeCell ref="A1953:A1970"/>
    <mergeCell ref="A1971:A1988"/>
    <mergeCell ref="A1670:A1682"/>
    <mergeCell ref="A1687:A1700"/>
    <mergeCell ref="A1701:A1714"/>
    <mergeCell ref="A1715:A1728"/>
    <mergeCell ref="A1730:A1742"/>
    <mergeCell ref="A1743:A1755"/>
    <mergeCell ref="A1756:A1768"/>
    <mergeCell ref="A1771:A1784"/>
    <mergeCell ref="A1785:A1798"/>
    <mergeCell ref="A1577:A1590"/>
    <mergeCell ref="A1591:A1604"/>
    <mergeCell ref="A1606:A1619"/>
    <mergeCell ref="A1620:A1633"/>
    <mergeCell ref="A1634:A1636"/>
    <mergeCell ref="A1637:A1639"/>
    <mergeCell ref="A1640:A1642"/>
    <mergeCell ref="A1644:A1656"/>
    <mergeCell ref="A1657:A1669"/>
    <mergeCell ref="A1452:A1462"/>
    <mergeCell ref="A1463:A1476"/>
    <mergeCell ref="A1477:A1490"/>
    <mergeCell ref="A1491:A1504"/>
    <mergeCell ref="A1505:A1518"/>
    <mergeCell ref="A1520:A1533"/>
    <mergeCell ref="A1534:A1547"/>
    <mergeCell ref="A1548:A1561"/>
    <mergeCell ref="A1563:A1576"/>
    <mergeCell ref="A1319:A1333"/>
    <mergeCell ref="A1334:A1349"/>
    <mergeCell ref="A1350:A1365"/>
    <mergeCell ref="A1366:A1381"/>
    <mergeCell ref="A1382:A1397"/>
    <mergeCell ref="A1398:A1413"/>
    <mergeCell ref="A1414:A1429"/>
    <mergeCell ref="A1430:A1440"/>
    <mergeCell ref="A1441:A1451"/>
    <mergeCell ref="A1176:A1190"/>
    <mergeCell ref="A1191:A1206"/>
    <mergeCell ref="A1207:A1222"/>
    <mergeCell ref="A1223:A1238"/>
    <mergeCell ref="A1239:A1254"/>
    <mergeCell ref="A1255:A1270"/>
    <mergeCell ref="A1271:A1286"/>
    <mergeCell ref="A1289:A1303"/>
    <mergeCell ref="A1304:A1318"/>
    <mergeCell ref="A1073:A1082"/>
    <mergeCell ref="A1083:A1093"/>
    <mergeCell ref="A1094:A1104"/>
    <mergeCell ref="A1105:A1115"/>
    <mergeCell ref="A1116:A1125"/>
    <mergeCell ref="A1126:A1135"/>
    <mergeCell ref="A1136:A1145"/>
    <mergeCell ref="A1146:A1160"/>
    <mergeCell ref="A1161:A1175"/>
    <mergeCell ref="A980:A989"/>
    <mergeCell ref="A990:A1000"/>
    <mergeCell ref="A1001:A1011"/>
    <mergeCell ref="A1012:A1022"/>
    <mergeCell ref="A1023:A1032"/>
    <mergeCell ref="A1033:A1042"/>
    <mergeCell ref="A1043:A1052"/>
    <mergeCell ref="A1053:A1062"/>
    <mergeCell ref="A1063:A1072"/>
    <mergeCell ref="A782:A802"/>
    <mergeCell ref="A803:A828"/>
    <mergeCell ref="A829:A854"/>
    <mergeCell ref="A855:A880"/>
    <mergeCell ref="A881:A906"/>
    <mergeCell ref="A907:A933"/>
    <mergeCell ref="A934:A959"/>
    <mergeCell ref="A960:A969"/>
    <mergeCell ref="A970:A979"/>
    <mergeCell ref="A571:A595"/>
    <mergeCell ref="A598:A622"/>
    <mergeCell ref="A623:A648"/>
    <mergeCell ref="A649:A674"/>
    <mergeCell ref="A675:A695"/>
    <mergeCell ref="A696:A716"/>
    <mergeCell ref="A717:A737"/>
    <mergeCell ref="A739:A759"/>
    <mergeCell ref="A760:A780"/>
    <mergeCell ref="A398:A412"/>
    <mergeCell ref="A413:A427"/>
    <mergeCell ref="A428:A447"/>
    <mergeCell ref="A448:A467"/>
    <mergeCell ref="A470:A490"/>
    <mergeCell ref="A491:A511"/>
    <mergeCell ref="A514:A530"/>
    <mergeCell ref="A531:A548"/>
    <mergeCell ref="A553:A570"/>
    <mergeCell ref="A206:A229"/>
    <mergeCell ref="A230:A253"/>
    <mergeCell ref="A254:A277"/>
    <mergeCell ref="A278:A299"/>
    <mergeCell ref="A300:A321"/>
    <mergeCell ref="A322:A343"/>
    <mergeCell ref="A345:A366"/>
    <mergeCell ref="A367:A380"/>
    <mergeCell ref="A384:A397"/>
    <mergeCell ref="A2:A20"/>
    <mergeCell ref="A21:A39"/>
    <mergeCell ref="A41:A59"/>
    <mergeCell ref="A60:A78"/>
    <mergeCell ref="A80:A98"/>
    <mergeCell ref="A99:A117"/>
    <mergeCell ref="A119:A142"/>
    <mergeCell ref="A158:A181"/>
    <mergeCell ref="A182:A205"/>
  </mergeCells>
  <pageMargins left="0" right="0" top="0" bottom="0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rightToLeft="1" tabSelected="1" zoomScaleNormal="100" workbookViewId="0">
      <selection sqref="A1:G1"/>
    </sheetView>
  </sheetViews>
  <sheetFormatPr defaultColWidth="14.44140625" defaultRowHeight="14.4"/>
  <cols>
    <col min="1" max="1" width="31.5546875" customWidth="1"/>
    <col min="2" max="2" width="14.109375" customWidth="1"/>
    <col min="3" max="3" width="35.44140625" customWidth="1"/>
    <col min="4" max="5" width="9.109375" customWidth="1"/>
    <col min="6" max="6" width="11.44140625" customWidth="1"/>
    <col min="7" max="7" width="9.109375" customWidth="1"/>
    <col min="8" max="26" width="8.6640625" customWidth="1"/>
  </cols>
  <sheetData>
    <row r="1" spans="1:26" ht="78" customHeight="1">
      <c r="A1" s="4"/>
      <c r="B1" s="4"/>
      <c r="C1" s="4"/>
      <c r="D1" s="4"/>
      <c r="E1" s="4"/>
      <c r="F1" s="4"/>
      <c r="G1" s="4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42.75" customHeight="1">
      <c r="A2" s="43" t="s">
        <v>2804</v>
      </c>
      <c r="B2" s="44"/>
      <c r="C2" s="44"/>
      <c r="D2" s="44"/>
      <c r="E2" s="44">
        <f>G2</f>
        <v>0</v>
      </c>
      <c r="F2" s="44"/>
      <c r="G2" s="45">
        <f>C3</f>
        <v>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2.25" customHeight="1">
      <c r="A3" s="46"/>
      <c r="B3" s="47" t="s">
        <v>2805</v>
      </c>
      <c r="C3" s="48"/>
      <c r="D3" s="44">
        <f>F3</f>
        <v>0</v>
      </c>
      <c r="E3" s="44"/>
      <c r="F3" s="49">
        <f>C4</f>
        <v>0</v>
      </c>
      <c r="G3" s="50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33" customHeight="1">
      <c r="A4" s="46"/>
      <c r="B4" s="47" t="s">
        <v>2806</v>
      </c>
      <c r="C4" s="48"/>
      <c r="D4" s="44"/>
      <c r="E4" s="44"/>
      <c r="F4" s="44"/>
      <c r="G4" s="5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1.75" customHeight="1">
      <c r="A5" s="51"/>
      <c r="B5" s="52"/>
      <c r="C5" s="52"/>
      <c r="D5" s="52"/>
      <c r="E5" s="52"/>
      <c r="F5" s="52"/>
      <c r="G5" s="52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23.25" customHeight="1">
      <c r="A6" s="54" t="s">
        <v>2807</v>
      </c>
      <c r="B6" s="47" t="s">
        <v>2808</v>
      </c>
      <c r="C6" s="47" t="s">
        <v>2809</v>
      </c>
      <c r="D6" s="44"/>
      <c r="E6" s="44"/>
      <c r="F6" s="44"/>
      <c r="G6" s="48">
        <f>(C3+2)/2</f>
        <v>1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3.25" customHeight="1">
      <c r="A7" s="46"/>
      <c r="B7" s="47" t="s">
        <v>2810</v>
      </c>
      <c r="C7" s="47" t="s">
        <v>2811</v>
      </c>
      <c r="D7" s="44"/>
      <c r="E7" s="44"/>
      <c r="F7" s="44"/>
      <c r="G7" s="48">
        <f>C4-7.5</f>
        <v>-7.5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3.25" customHeight="1">
      <c r="A8" s="54" t="s">
        <v>2812</v>
      </c>
      <c r="B8" s="47" t="s">
        <v>2813</v>
      </c>
      <c r="C8" s="47" t="s">
        <v>2814</v>
      </c>
      <c r="D8" s="44"/>
      <c r="E8" s="44"/>
      <c r="F8" s="44"/>
      <c r="G8" s="48">
        <f>G6</f>
        <v>1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3.25" customHeight="1">
      <c r="A9" s="46"/>
      <c r="B9" s="47" t="s">
        <v>2815</v>
      </c>
      <c r="C9" s="47" t="s">
        <v>2816</v>
      </c>
      <c r="D9" s="44"/>
      <c r="E9" s="44"/>
      <c r="F9" s="44"/>
      <c r="G9" s="48">
        <f>G7+2</f>
        <v>-5.5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3.25" customHeight="1">
      <c r="A10" s="54" t="s">
        <v>2817</v>
      </c>
      <c r="B10" s="47" t="s">
        <v>2818</v>
      </c>
      <c r="C10" s="47" t="s">
        <v>2819</v>
      </c>
      <c r="D10" s="44"/>
      <c r="E10" s="44"/>
      <c r="F10" s="44"/>
      <c r="G10" s="48">
        <f>G6-15</f>
        <v>-14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3.25" customHeight="1">
      <c r="A11" s="46"/>
      <c r="B11" s="47" t="s">
        <v>2820</v>
      </c>
      <c r="C11" s="47" t="s">
        <v>2821</v>
      </c>
      <c r="D11" s="44"/>
      <c r="E11" s="44"/>
      <c r="F11" s="44"/>
      <c r="G11" s="48">
        <f>G7-15</f>
        <v>-22.5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3.25" customHeight="1">
      <c r="A12" s="46"/>
      <c r="B12" s="44"/>
      <c r="C12" s="44"/>
      <c r="D12" s="44"/>
      <c r="E12" s="44"/>
      <c r="F12" s="44"/>
      <c r="G12" s="48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78" customHeight="1">
      <c r="A13" s="3"/>
      <c r="B13" s="3"/>
      <c r="C13" s="3"/>
      <c r="D13" s="3"/>
      <c r="E13" s="3"/>
      <c r="F13" s="3"/>
      <c r="G13" s="3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42.75" customHeight="1">
      <c r="A14" s="43" t="s">
        <v>2822</v>
      </c>
      <c r="B14" s="44"/>
      <c r="C14" s="44"/>
      <c r="D14" s="44"/>
      <c r="E14" s="44">
        <f>G14</f>
        <v>300</v>
      </c>
      <c r="F14" s="44"/>
      <c r="G14" s="45">
        <f>C15</f>
        <v>300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32.25" customHeight="1">
      <c r="A15" s="46"/>
      <c r="B15" s="47" t="s">
        <v>2805</v>
      </c>
      <c r="C15" s="48">
        <v>300</v>
      </c>
      <c r="D15" s="44">
        <f>F15</f>
        <v>200</v>
      </c>
      <c r="E15" s="44"/>
      <c r="F15" s="49">
        <f>C16</f>
        <v>200</v>
      </c>
      <c r="G15" s="50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33" customHeight="1">
      <c r="A16" s="46"/>
      <c r="B16" s="47" t="s">
        <v>2806</v>
      </c>
      <c r="C16" s="48">
        <v>200</v>
      </c>
      <c r="D16" s="44"/>
      <c r="E16" s="44"/>
      <c r="F16" s="44"/>
      <c r="G16" s="50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1.75" customHeight="1">
      <c r="A17" s="51"/>
      <c r="B17" s="52"/>
      <c r="C17" s="52"/>
      <c r="D17" s="52"/>
      <c r="E17" s="52"/>
      <c r="F17" s="52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23.25" customHeight="1">
      <c r="A18" s="54" t="s">
        <v>2807</v>
      </c>
      <c r="B18" s="47" t="s">
        <v>2808</v>
      </c>
      <c r="C18" s="47" t="s">
        <v>2823</v>
      </c>
      <c r="D18" s="44"/>
      <c r="E18" s="44"/>
      <c r="F18" s="44"/>
      <c r="G18" s="48">
        <f>(C15+11.2)/3</f>
        <v>103.73333333333333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3.25" customHeight="1">
      <c r="A19" s="46"/>
      <c r="B19" s="47" t="s">
        <v>2810</v>
      </c>
      <c r="C19" s="47" t="s">
        <v>2811</v>
      </c>
      <c r="D19" s="44"/>
      <c r="E19" s="44"/>
      <c r="F19" s="44"/>
      <c r="G19" s="48">
        <f>C16-7.5</f>
        <v>192.5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3.25" customHeight="1">
      <c r="A20" s="54" t="s">
        <v>2812</v>
      </c>
      <c r="B20" s="47" t="s">
        <v>2813</v>
      </c>
      <c r="C20" s="47" t="s">
        <v>2824</v>
      </c>
      <c r="D20" s="44"/>
      <c r="E20" s="44"/>
      <c r="F20" s="44"/>
      <c r="G20" s="48">
        <f>G18+2</f>
        <v>105.73333333333333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3.25" customHeight="1">
      <c r="A21" s="46"/>
      <c r="B21" s="47" t="s">
        <v>2815</v>
      </c>
      <c r="C21" s="47" t="s">
        <v>2825</v>
      </c>
      <c r="D21" s="44"/>
      <c r="E21" s="44"/>
      <c r="F21" s="44"/>
      <c r="G21" s="48">
        <f>G19+4</f>
        <v>196.5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3.25" customHeight="1">
      <c r="A22" s="54" t="s">
        <v>2817</v>
      </c>
      <c r="B22" s="47" t="s">
        <v>2818</v>
      </c>
      <c r="C22" s="47" t="s">
        <v>2819</v>
      </c>
      <c r="D22" s="44"/>
      <c r="E22" s="44"/>
      <c r="F22" s="44"/>
      <c r="G22" s="48">
        <f>G18-15</f>
        <v>88.733333333333334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3.25" customHeight="1">
      <c r="A23" s="46"/>
      <c r="B23" s="47" t="s">
        <v>2820</v>
      </c>
      <c r="C23" s="47" t="s">
        <v>2821</v>
      </c>
      <c r="D23" s="44"/>
      <c r="E23" s="44"/>
      <c r="F23" s="44"/>
      <c r="G23" s="48">
        <f>G19-15</f>
        <v>177.5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3.25" customHeight="1">
      <c r="A24" s="46"/>
      <c r="B24" s="44"/>
      <c r="C24" s="44"/>
      <c r="D24" s="44"/>
      <c r="E24" s="44"/>
      <c r="F24" s="44"/>
      <c r="G24" s="48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78" customHeight="1">
      <c r="A25" s="3"/>
      <c r="B25" s="3"/>
      <c r="C25" s="3"/>
      <c r="D25" s="3"/>
      <c r="E25" s="3"/>
      <c r="F25" s="3"/>
      <c r="G25" s="3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42.75" customHeight="1">
      <c r="A26" s="43" t="s">
        <v>2826</v>
      </c>
      <c r="B26" s="44"/>
      <c r="C26" s="44"/>
      <c r="D26" s="44"/>
      <c r="E26" s="44">
        <f>G26</f>
        <v>0</v>
      </c>
      <c r="F26" s="44"/>
      <c r="G26" s="45">
        <f>C27</f>
        <v>0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32.25" customHeight="1">
      <c r="A27" s="46"/>
      <c r="B27" s="47" t="s">
        <v>2805</v>
      </c>
      <c r="C27" s="48">
        <v>0</v>
      </c>
      <c r="D27" s="44">
        <f>F27</f>
        <v>0</v>
      </c>
      <c r="E27" s="44"/>
      <c r="F27" s="49">
        <f>C28</f>
        <v>0</v>
      </c>
      <c r="G27" s="50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33" customHeight="1">
      <c r="A28" s="46"/>
      <c r="B28" s="47" t="s">
        <v>2806</v>
      </c>
      <c r="C28" s="48">
        <v>0</v>
      </c>
      <c r="D28" s="44"/>
      <c r="E28" s="44"/>
      <c r="F28" s="44"/>
      <c r="G28" s="50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1.75" customHeight="1">
      <c r="A29" s="51"/>
      <c r="B29" s="52"/>
      <c r="C29" s="52"/>
      <c r="D29" s="52"/>
      <c r="E29" s="52"/>
      <c r="F29" s="52"/>
      <c r="G29" s="52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23.25" customHeight="1">
      <c r="A30" s="54" t="s">
        <v>2807</v>
      </c>
      <c r="B30" s="47" t="s">
        <v>2808</v>
      </c>
      <c r="C30" s="47" t="s">
        <v>2827</v>
      </c>
      <c r="D30" s="44"/>
      <c r="E30" s="44"/>
      <c r="F30" s="44"/>
      <c r="G30" s="48">
        <f>(C27+2)/2</f>
        <v>1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3.25" customHeight="1">
      <c r="A31" s="46"/>
      <c r="B31" s="47" t="s">
        <v>2810</v>
      </c>
      <c r="C31" s="47" t="s">
        <v>2811</v>
      </c>
      <c r="D31" s="44"/>
      <c r="E31" s="44"/>
      <c r="F31" s="44"/>
      <c r="G31" s="48">
        <f>C28-7.5</f>
        <v>-7.5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3.25" customHeight="1">
      <c r="A32" s="54" t="s">
        <v>2812</v>
      </c>
      <c r="B32" s="47" t="s">
        <v>2813</v>
      </c>
      <c r="C32" s="47" t="s">
        <v>2814</v>
      </c>
      <c r="D32" s="44"/>
      <c r="E32" s="44"/>
      <c r="F32" s="44"/>
      <c r="G32" s="48">
        <f>G30</f>
        <v>1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23.25" customHeight="1">
      <c r="A33" s="46"/>
      <c r="B33" s="47" t="s">
        <v>2815</v>
      </c>
      <c r="C33" s="47" t="s">
        <v>2816</v>
      </c>
      <c r="D33" s="44"/>
      <c r="E33" s="44"/>
      <c r="F33" s="44"/>
      <c r="G33" s="48">
        <f>G31+2</f>
        <v>-5.5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23.25" customHeight="1">
      <c r="A34" s="54" t="s">
        <v>2817</v>
      </c>
      <c r="B34" s="47" t="s">
        <v>2818</v>
      </c>
      <c r="C34" s="47" t="s">
        <v>2819</v>
      </c>
      <c r="D34" s="44"/>
      <c r="E34" s="44"/>
      <c r="F34" s="44"/>
      <c r="G34" s="48">
        <f>G30-15</f>
        <v>-14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23.25" customHeight="1">
      <c r="A35" s="46"/>
      <c r="B35" s="47" t="s">
        <v>2820</v>
      </c>
      <c r="C35" s="47" t="s">
        <v>2821</v>
      </c>
      <c r="D35" s="44"/>
      <c r="E35" s="44"/>
      <c r="F35" s="44"/>
      <c r="G35" s="48">
        <f>G31-15</f>
        <v>-22.5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23.25" customHeight="1">
      <c r="A36" s="46"/>
      <c r="B36" s="44"/>
      <c r="C36" s="44"/>
      <c r="D36" s="44"/>
      <c r="E36" s="44"/>
      <c r="F36" s="44"/>
      <c r="G36" s="48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21.75" customHeight="1">
      <c r="A37" s="51"/>
      <c r="B37" s="52"/>
      <c r="C37" s="52"/>
      <c r="D37" s="52"/>
      <c r="E37" s="52"/>
      <c r="F37" s="52"/>
      <c r="G37" s="52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48.75" customHeight="1">
      <c r="A38" s="43" t="s">
        <v>2828</v>
      </c>
      <c r="B38" s="44"/>
      <c r="C38" s="44"/>
      <c r="D38" s="44"/>
      <c r="E38" s="55">
        <f>C39</f>
        <v>0</v>
      </c>
      <c r="F38" s="44"/>
      <c r="G38" s="5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34.5" customHeight="1">
      <c r="A39" s="46"/>
      <c r="B39" s="47" t="s">
        <v>2805</v>
      </c>
      <c r="C39" s="48">
        <v>0</v>
      </c>
      <c r="D39" s="44">
        <f>C40</f>
        <v>0</v>
      </c>
      <c r="E39" s="44"/>
      <c r="F39" s="44"/>
      <c r="G39" s="56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34.5" customHeight="1">
      <c r="A40" s="46"/>
      <c r="B40" s="47" t="s">
        <v>2806</v>
      </c>
      <c r="C40" s="48">
        <v>0</v>
      </c>
      <c r="D40" s="44"/>
      <c r="E40" s="44"/>
      <c r="F40" s="44"/>
      <c r="G40" s="56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21.75" customHeight="1">
      <c r="A41" s="51"/>
      <c r="B41" s="52"/>
      <c r="C41" s="52"/>
      <c r="D41" s="52"/>
      <c r="E41" s="52"/>
      <c r="F41" s="52"/>
      <c r="G41" s="52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23.25" customHeight="1">
      <c r="A42" s="54" t="s">
        <v>2807</v>
      </c>
      <c r="B42" s="47" t="s">
        <v>2808</v>
      </c>
      <c r="C42" s="47" t="s">
        <v>2829</v>
      </c>
      <c r="D42" s="44"/>
      <c r="E42" s="44"/>
      <c r="F42" s="44"/>
      <c r="G42" s="48">
        <f>C39-6</f>
        <v>-6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23.25" customHeight="1">
      <c r="A43" s="46"/>
      <c r="B43" s="47" t="s">
        <v>2810</v>
      </c>
      <c r="C43" s="47" t="s">
        <v>2830</v>
      </c>
      <c r="D43" s="44"/>
      <c r="E43" s="44"/>
      <c r="F43" s="44"/>
      <c r="G43" s="48">
        <f>C40-6</f>
        <v>-6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3.25" customHeight="1">
      <c r="A44" s="54" t="s">
        <v>2817</v>
      </c>
      <c r="B44" s="47" t="s">
        <v>2818</v>
      </c>
      <c r="C44" s="47" t="s">
        <v>2831</v>
      </c>
      <c r="D44" s="44"/>
      <c r="E44" s="44"/>
      <c r="F44" s="44"/>
      <c r="G44" s="48">
        <f>G42-13</f>
        <v>-19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3.25" customHeight="1">
      <c r="A45" s="46"/>
      <c r="B45" s="47" t="s">
        <v>2820</v>
      </c>
      <c r="C45" s="47" t="s">
        <v>2832</v>
      </c>
      <c r="D45" s="44"/>
      <c r="E45" s="44"/>
      <c r="F45" s="44"/>
      <c r="G45" s="48">
        <f>G43-13</f>
        <v>-19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23.25" customHeight="1">
      <c r="A46" s="57" t="s">
        <v>2833</v>
      </c>
      <c r="B46" s="58"/>
      <c r="C46" s="58"/>
      <c r="D46" s="58"/>
      <c r="E46" s="58"/>
      <c r="F46" s="58"/>
      <c r="G46" s="48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23.25" customHeight="1">
      <c r="A47" s="54" t="s">
        <v>2834</v>
      </c>
      <c r="B47" s="47" t="s">
        <v>2835</v>
      </c>
      <c r="C47" s="47" t="s">
        <v>2836</v>
      </c>
      <c r="D47" s="44"/>
      <c r="E47" s="44"/>
      <c r="F47" s="44"/>
      <c r="G47" s="48">
        <f>G42-10.5</f>
        <v>-16.5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3.25" customHeight="1">
      <c r="A48" s="46"/>
      <c r="B48" s="47" t="s">
        <v>2837</v>
      </c>
      <c r="C48" s="47" t="s">
        <v>2838</v>
      </c>
      <c r="D48" s="44"/>
      <c r="E48" s="44"/>
      <c r="F48" s="44"/>
      <c r="G48" s="48">
        <f>G43-10.5</f>
        <v>-16.5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23.25" customHeight="1">
      <c r="A49" s="2" t="s">
        <v>2839</v>
      </c>
      <c r="B49" s="2"/>
      <c r="C49" s="2"/>
      <c r="D49" s="2"/>
      <c r="E49" s="2"/>
      <c r="F49" s="2"/>
      <c r="G49" s="48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23.25" customHeight="1">
      <c r="A50" s="2" t="s">
        <v>2840</v>
      </c>
      <c r="B50" s="2"/>
      <c r="C50" s="2"/>
      <c r="D50" s="2"/>
      <c r="E50" s="2"/>
      <c r="F50" s="2"/>
      <c r="G50" s="48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48.75" customHeight="1">
      <c r="A51" s="51"/>
      <c r="B51" s="52"/>
      <c r="C51" s="52"/>
      <c r="D51" s="52"/>
      <c r="E51" s="52"/>
      <c r="F51" s="52"/>
      <c r="G51" s="52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34.5" customHeight="1">
      <c r="A52" s="43" t="s">
        <v>2841</v>
      </c>
      <c r="B52" s="44"/>
      <c r="C52" s="44"/>
      <c r="D52" s="44"/>
      <c r="E52" s="55">
        <f>C53</f>
        <v>100</v>
      </c>
      <c r="F52" s="44"/>
      <c r="G52" s="56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34.5" customHeight="1">
      <c r="A53" s="46"/>
      <c r="B53" s="47" t="s">
        <v>2805</v>
      </c>
      <c r="C53" s="48">
        <v>100</v>
      </c>
      <c r="D53" s="44">
        <v>140</v>
      </c>
      <c r="E53" s="44"/>
      <c r="F53" s="44"/>
      <c r="G53" s="56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21.75" customHeight="1">
      <c r="A54" s="46"/>
      <c r="B54" s="47" t="s">
        <v>2806</v>
      </c>
      <c r="C54" s="48">
        <v>100</v>
      </c>
      <c r="D54" s="44"/>
      <c r="E54" s="44"/>
      <c r="F54" s="44"/>
      <c r="G54" s="56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23.25" customHeight="1">
      <c r="A55" s="51"/>
      <c r="B55" s="52"/>
      <c r="C55" s="52"/>
      <c r="D55" s="52"/>
      <c r="E55" s="52"/>
      <c r="F55" s="52"/>
      <c r="G55" s="52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23.25" customHeight="1">
      <c r="A56" s="54" t="s">
        <v>2842</v>
      </c>
      <c r="B56" s="47" t="s">
        <v>2808</v>
      </c>
      <c r="C56" s="47" t="s">
        <v>2843</v>
      </c>
      <c r="D56" s="44"/>
      <c r="E56" s="44"/>
      <c r="F56" s="44">
        <f>C53-6</f>
        <v>94</v>
      </c>
      <c r="G56" s="48">
        <f>F56/2</f>
        <v>47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23.25" customHeight="1">
      <c r="A57" s="46"/>
      <c r="B57" s="47" t="s">
        <v>2810</v>
      </c>
      <c r="C57" s="47" t="s">
        <v>2830</v>
      </c>
      <c r="D57" s="44"/>
      <c r="E57" s="44"/>
      <c r="F57" s="44"/>
      <c r="G57" s="48">
        <f>C54-6</f>
        <v>94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23.25" customHeight="1">
      <c r="A58" s="54" t="s">
        <v>2817</v>
      </c>
      <c r="B58" s="47" t="s">
        <v>2818</v>
      </c>
      <c r="C58" s="47" t="s">
        <v>2831</v>
      </c>
      <c r="D58" s="44"/>
      <c r="E58" s="44"/>
      <c r="F58" s="44"/>
      <c r="G58" s="48">
        <f>G56-13</f>
        <v>34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23.25" customHeight="1">
      <c r="A59" s="46"/>
      <c r="B59" s="47" t="s">
        <v>2820</v>
      </c>
      <c r="C59" s="47" t="s">
        <v>2832</v>
      </c>
      <c r="D59" s="44"/>
      <c r="E59" s="44"/>
      <c r="F59" s="44"/>
      <c r="G59" s="48">
        <f>G57-13</f>
        <v>81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23.25" customHeight="1">
      <c r="A60" s="57" t="s">
        <v>2833</v>
      </c>
      <c r="B60" s="58"/>
      <c r="C60" s="58"/>
      <c r="D60" s="58"/>
      <c r="E60" s="58"/>
      <c r="F60" s="58"/>
      <c r="G60" s="48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23.25" customHeight="1">
      <c r="A61" s="54" t="s">
        <v>2834</v>
      </c>
      <c r="B61" s="47" t="s">
        <v>2835</v>
      </c>
      <c r="C61" s="47" t="s">
        <v>2836</v>
      </c>
      <c r="D61" s="44"/>
      <c r="E61" s="44"/>
      <c r="F61" s="44"/>
      <c r="G61" s="48">
        <f>G56-10.5</f>
        <v>36.5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23.25" customHeight="1">
      <c r="A62" s="46"/>
      <c r="B62" s="47" t="s">
        <v>2837</v>
      </c>
      <c r="C62" s="47" t="s">
        <v>2838</v>
      </c>
      <c r="D62" s="44"/>
      <c r="E62" s="44"/>
      <c r="F62" s="44"/>
      <c r="G62" s="48">
        <f>G57-10.5</f>
        <v>83.5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23.25" customHeight="1">
      <c r="A63" s="2" t="s">
        <v>2839</v>
      </c>
      <c r="B63" s="2"/>
      <c r="C63" s="2"/>
      <c r="D63" s="2"/>
      <c r="E63" s="2"/>
      <c r="F63" s="2"/>
      <c r="G63" s="48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23.25" customHeight="1">
      <c r="A64" s="2" t="s">
        <v>2840</v>
      </c>
      <c r="B64" s="2"/>
      <c r="C64" s="2"/>
      <c r="D64" s="2"/>
      <c r="E64" s="2"/>
      <c r="F64" s="2"/>
      <c r="G64" s="48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23.25" customHeight="1">
      <c r="A65" s="2" t="s">
        <v>2844</v>
      </c>
      <c r="B65" s="2"/>
      <c r="C65" s="2"/>
      <c r="D65" s="2"/>
      <c r="E65" s="2"/>
      <c r="F65" s="2"/>
      <c r="G65" s="48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3.25" customHeight="1">
      <c r="A66" s="2" t="s">
        <v>2845</v>
      </c>
      <c r="B66" s="2"/>
      <c r="C66" s="2"/>
      <c r="D66" s="2"/>
      <c r="E66" s="2"/>
      <c r="F66" s="2"/>
      <c r="G66" s="48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3.25" customHeight="1">
      <c r="A67" s="2" t="s">
        <v>2846</v>
      </c>
      <c r="B67" s="2"/>
      <c r="C67" s="2"/>
      <c r="D67" s="2"/>
      <c r="E67" s="2"/>
      <c r="F67" s="2"/>
      <c r="G67" s="48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40.5" customHeight="1">
      <c r="A68" s="51"/>
      <c r="B68" s="52"/>
      <c r="C68" s="52"/>
      <c r="D68" s="52"/>
      <c r="E68" s="52"/>
      <c r="F68" s="52"/>
      <c r="G68" s="5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78" customHeight="1">
      <c r="A69" s="43" t="s">
        <v>2847</v>
      </c>
      <c r="B69" s="44"/>
      <c r="C69" s="44"/>
      <c r="D69" s="44"/>
      <c r="E69" s="55">
        <f>C70</f>
        <v>100</v>
      </c>
      <c r="F69" s="44"/>
      <c r="G69" s="56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42.75" customHeight="1">
      <c r="A70" s="46"/>
      <c r="B70" s="47" t="s">
        <v>2805</v>
      </c>
      <c r="C70" s="48">
        <v>100</v>
      </c>
      <c r="D70" s="44">
        <v>140</v>
      </c>
      <c r="E70" s="44"/>
      <c r="F70" s="44"/>
      <c r="G70" s="56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32.25" customHeight="1">
      <c r="A71" s="46"/>
      <c r="B71" s="47" t="s">
        <v>2806</v>
      </c>
      <c r="C71" s="48">
        <v>100</v>
      </c>
      <c r="D71" s="44"/>
      <c r="E71" s="44"/>
      <c r="F71" s="44"/>
      <c r="G71" s="56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33" customHeight="1">
      <c r="A72" s="51"/>
      <c r="B72" s="52"/>
      <c r="C72" s="52"/>
      <c r="D72" s="52"/>
      <c r="E72" s="52"/>
      <c r="F72" s="52"/>
      <c r="G72" s="52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21.75" customHeight="1">
      <c r="A73" s="54" t="s">
        <v>2842</v>
      </c>
      <c r="B73" s="47" t="s">
        <v>2808</v>
      </c>
      <c r="C73" s="47" t="s">
        <v>2843</v>
      </c>
      <c r="D73" s="44"/>
      <c r="E73" s="44"/>
      <c r="F73" s="44">
        <f>C70-6</f>
        <v>94</v>
      </c>
      <c r="G73" s="48">
        <f>F73/2</f>
        <v>47</v>
      </c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23.25" customHeight="1">
      <c r="A74" s="46"/>
      <c r="B74" s="47" t="s">
        <v>2810</v>
      </c>
      <c r="C74" s="47" t="s">
        <v>2830</v>
      </c>
      <c r="D74" s="44"/>
      <c r="E74" s="44"/>
      <c r="F74" s="44"/>
      <c r="G74" s="48">
        <f>C71-6</f>
        <v>94</v>
      </c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23.25" customHeight="1">
      <c r="A75" s="54" t="s">
        <v>2817</v>
      </c>
      <c r="B75" s="47" t="s">
        <v>2818</v>
      </c>
      <c r="C75" s="47" t="s">
        <v>2848</v>
      </c>
      <c r="D75" s="44"/>
      <c r="E75" s="44"/>
      <c r="F75" s="44"/>
      <c r="G75" s="48">
        <f>G73-18.5</f>
        <v>28.5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23.25" customHeight="1">
      <c r="A76" s="46"/>
      <c r="B76" s="47" t="s">
        <v>2820</v>
      </c>
      <c r="C76" s="47" t="s">
        <v>2849</v>
      </c>
      <c r="D76" s="44"/>
      <c r="E76" s="44"/>
      <c r="F76" s="44"/>
      <c r="G76" s="48">
        <f>G74-18.5</f>
        <v>75.5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21.75" customHeight="1">
      <c r="A77" s="57" t="s">
        <v>2833</v>
      </c>
      <c r="B77" s="58"/>
      <c r="C77" s="58"/>
      <c r="D77" s="58"/>
      <c r="E77" s="58"/>
      <c r="F77" s="58"/>
      <c r="G77" s="48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48.75" customHeight="1">
      <c r="A78" s="54" t="s">
        <v>2834</v>
      </c>
      <c r="B78" s="47" t="s">
        <v>2835</v>
      </c>
      <c r="C78" s="47" t="s">
        <v>2850</v>
      </c>
      <c r="D78" s="44"/>
      <c r="E78" s="44"/>
      <c r="F78" s="44"/>
      <c r="G78" s="48">
        <f>G73-15.5</f>
        <v>31.5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34.5" customHeight="1">
      <c r="A79" s="46"/>
      <c r="B79" s="47" t="s">
        <v>2837</v>
      </c>
      <c r="C79" s="47" t="s">
        <v>2851</v>
      </c>
      <c r="D79" s="44"/>
      <c r="E79" s="44"/>
      <c r="F79" s="44"/>
      <c r="G79" s="48">
        <f>G74-15.5</f>
        <v>78.5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34.5" customHeight="1">
      <c r="A80" s="2" t="s">
        <v>2839</v>
      </c>
      <c r="B80" s="2"/>
      <c r="C80" s="2"/>
      <c r="D80" s="2"/>
      <c r="E80" s="2"/>
      <c r="F80" s="2"/>
      <c r="G80" s="48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21.75" customHeight="1">
      <c r="A81" s="2" t="s">
        <v>2840</v>
      </c>
      <c r="B81" s="2"/>
      <c r="C81" s="2"/>
      <c r="D81" s="2"/>
      <c r="E81" s="2"/>
      <c r="F81" s="2"/>
      <c r="G81" s="48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23.25" customHeight="1">
      <c r="A82" s="2" t="s">
        <v>2844</v>
      </c>
      <c r="B82" s="2"/>
      <c r="C82" s="2"/>
      <c r="D82" s="2"/>
      <c r="E82" s="2"/>
      <c r="F82" s="2"/>
      <c r="G82" s="48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23.25" customHeight="1">
      <c r="A83" s="2" t="s">
        <v>2845</v>
      </c>
      <c r="B83" s="2"/>
      <c r="C83" s="2"/>
      <c r="D83" s="2"/>
      <c r="E83" s="2"/>
      <c r="F83" s="2"/>
      <c r="G83" s="48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23.25" customHeight="1">
      <c r="A84" s="2" t="s">
        <v>2846</v>
      </c>
      <c r="B84" s="2"/>
      <c r="C84" s="2"/>
      <c r="D84" s="2"/>
      <c r="E84" s="2"/>
      <c r="F84" s="2"/>
      <c r="G84" s="48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40.5" customHeight="1">
      <c r="A85" s="51"/>
      <c r="B85" s="52"/>
      <c r="C85" s="52"/>
      <c r="D85" s="52"/>
      <c r="E85" s="52"/>
      <c r="F85" s="52"/>
      <c r="G85" s="5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3.25" customHeight="1">
      <c r="A86" s="51"/>
      <c r="B86" s="52"/>
      <c r="C86" s="52"/>
      <c r="D86" s="52"/>
      <c r="E86" s="52"/>
      <c r="F86" s="52"/>
      <c r="G86" s="52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23.25" customHeight="1">
      <c r="A87" s="43" t="s">
        <v>2852</v>
      </c>
      <c r="B87" s="44"/>
      <c r="C87" s="44"/>
      <c r="D87" s="44"/>
      <c r="E87" s="55">
        <f>C88</f>
        <v>60</v>
      </c>
      <c r="F87" s="44"/>
      <c r="G87" s="56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23.25" customHeight="1">
      <c r="A88" s="46"/>
      <c r="B88" s="47" t="s">
        <v>2805</v>
      </c>
      <c r="C88" s="48">
        <v>60</v>
      </c>
      <c r="D88" s="44">
        <v>140</v>
      </c>
      <c r="E88" s="44"/>
      <c r="F88" s="44"/>
      <c r="G88" s="56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23.25" customHeight="1">
      <c r="A89" s="46"/>
      <c r="B89" s="47" t="s">
        <v>2806</v>
      </c>
      <c r="C89" s="48">
        <v>70</v>
      </c>
      <c r="D89" s="44"/>
      <c r="E89" s="44"/>
      <c r="F89" s="44"/>
      <c r="G89" s="56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23.25" customHeight="1">
      <c r="A90" s="51"/>
      <c r="B90" s="52"/>
      <c r="C90" s="52"/>
      <c r="D90" s="52"/>
      <c r="E90" s="52"/>
      <c r="F90" s="52"/>
      <c r="G90" s="52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23.25" customHeight="1">
      <c r="A91" s="54" t="s">
        <v>2842</v>
      </c>
      <c r="B91" s="47" t="s">
        <v>2808</v>
      </c>
      <c r="C91" s="47" t="s">
        <v>2829</v>
      </c>
      <c r="D91" s="44"/>
      <c r="E91" s="44"/>
      <c r="F91" s="44"/>
      <c r="G91" s="48">
        <f>C88-6</f>
        <v>54</v>
      </c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21.75" customHeight="1">
      <c r="A92" s="46"/>
      <c r="B92" s="47" t="s">
        <v>2810</v>
      </c>
      <c r="C92" s="47" t="s">
        <v>2853</v>
      </c>
      <c r="D92" s="44"/>
      <c r="E92" s="44"/>
      <c r="F92" s="44"/>
      <c r="G92" s="48">
        <f>C89-34</f>
        <v>36</v>
      </c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48.75" customHeight="1">
      <c r="A93" s="54" t="s">
        <v>2817</v>
      </c>
      <c r="B93" s="47" t="s">
        <v>2818</v>
      </c>
      <c r="C93" s="47" t="s">
        <v>2831</v>
      </c>
      <c r="D93" s="44"/>
      <c r="E93" s="44"/>
      <c r="F93" s="44"/>
      <c r="G93" s="48">
        <f>G91-13</f>
        <v>41</v>
      </c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34.5" customHeight="1">
      <c r="A94" s="46"/>
      <c r="B94" s="47" t="s">
        <v>2820</v>
      </c>
      <c r="C94" s="47" t="s">
        <v>2832</v>
      </c>
      <c r="D94" s="44"/>
      <c r="E94" s="44"/>
      <c r="F94" s="44"/>
      <c r="G94" s="48">
        <f>G92-13</f>
        <v>23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23.25" customHeight="1">
      <c r="A95" s="54" t="s">
        <v>2854</v>
      </c>
      <c r="B95" s="47" t="s">
        <v>2818</v>
      </c>
      <c r="C95" s="44">
        <v>35</v>
      </c>
      <c r="D95" s="44"/>
      <c r="E95" s="44"/>
      <c r="F95" s="44"/>
      <c r="G95" s="48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23.25" customHeight="1">
      <c r="A96" s="46"/>
      <c r="B96" s="47" t="s">
        <v>2820</v>
      </c>
      <c r="C96" s="44">
        <v>23</v>
      </c>
      <c r="D96" s="44"/>
      <c r="E96" s="44"/>
      <c r="F96" s="44"/>
      <c r="G96" s="48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23.25" customHeight="1">
      <c r="A97" s="2" t="s">
        <v>2839</v>
      </c>
      <c r="B97" s="2"/>
      <c r="C97" s="2"/>
      <c r="D97" s="2"/>
      <c r="E97" s="2"/>
      <c r="F97" s="2"/>
      <c r="G97" s="48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23.25" customHeight="1">
      <c r="A98" s="51"/>
      <c r="B98" s="52"/>
      <c r="C98" s="52"/>
      <c r="D98" s="52"/>
      <c r="E98" s="52"/>
      <c r="F98" s="52"/>
      <c r="G98" s="52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3.25" customHeight="1">
      <c r="A99" s="43" t="s">
        <v>2855</v>
      </c>
      <c r="B99" s="44"/>
      <c r="C99" s="44"/>
      <c r="D99" s="44"/>
      <c r="E99" s="55">
        <f>C100</f>
        <v>60</v>
      </c>
      <c r="F99" s="44"/>
      <c r="G99" s="56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23.25" customHeight="1">
      <c r="A100" s="46"/>
      <c r="B100" s="47" t="s">
        <v>2805</v>
      </c>
      <c r="C100" s="48">
        <v>60</v>
      </c>
      <c r="D100" s="44">
        <v>140</v>
      </c>
      <c r="E100" s="44"/>
      <c r="F100" s="44"/>
      <c r="G100" s="56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23.25" customHeight="1">
      <c r="A101" s="46"/>
      <c r="B101" s="47" t="s">
        <v>2806</v>
      </c>
      <c r="C101" s="48">
        <v>80</v>
      </c>
      <c r="D101" s="44"/>
      <c r="E101" s="44"/>
      <c r="F101" s="44"/>
      <c r="G101" s="56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23.25" customHeight="1">
      <c r="A102" s="51"/>
      <c r="B102" s="52"/>
      <c r="C102" s="52"/>
      <c r="D102" s="52"/>
      <c r="E102" s="52"/>
      <c r="F102" s="52"/>
      <c r="G102" s="52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23.25" customHeight="1">
      <c r="A103" s="54" t="s">
        <v>2842</v>
      </c>
      <c r="B103" s="47" t="s">
        <v>2808</v>
      </c>
      <c r="C103" s="47" t="s">
        <v>2829</v>
      </c>
      <c r="D103" s="44"/>
      <c r="E103" s="44"/>
      <c r="F103" s="44"/>
      <c r="G103" s="48">
        <f>C100-6</f>
        <v>54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48.75" customHeight="1">
      <c r="A104" s="46"/>
      <c r="B104" s="47" t="s">
        <v>2810</v>
      </c>
      <c r="C104" s="47" t="s">
        <v>2856</v>
      </c>
      <c r="D104" s="44"/>
      <c r="E104" s="44"/>
      <c r="F104" s="44"/>
      <c r="G104" s="48">
        <f>C101-39</f>
        <v>41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34.5" customHeight="1">
      <c r="A105" s="54" t="s">
        <v>2817</v>
      </c>
      <c r="B105" s="47" t="s">
        <v>2818</v>
      </c>
      <c r="C105" s="47" t="s">
        <v>2831</v>
      </c>
      <c r="D105" s="44"/>
      <c r="E105" s="44"/>
      <c r="F105" s="44"/>
      <c r="G105" s="48">
        <f>G103-13</f>
        <v>41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34.5" customHeight="1">
      <c r="A106" s="46"/>
      <c r="B106" s="47" t="s">
        <v>2820</v>
      </c>
      <c r="C106" s="47" t="s">
        <v>2832</v>
      </c>
      <c r="D106" s="44"/>
      <c r="E106" s="44"/>
      <c r="F106" s="44"/>
      <c r="G106" s="48">
        <f>G104-13</f>
        <v>28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23.25" customHeight="1">
      <c r="A107" s="54" t="s">
        <v>2854</v>
      </c>
      <c r="B107" s="47" t="s">
        <v>2818</v>
      </c>
      <c r="C107" s="47" t="s">
        <v>2857</v>
      </c>
      <c r="D107" s="44"/>
      <c r="E107" s="44"/>
      <c r="F107" s="44"/>
      <c r="G107" s="48">
        <f>C100-41.5</f>
        <v>18.5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23.25" customHeight="1">
      <c r="A108" s="46"/>
      <c r="B108" s="47" t="s">
        <v>2820</v>
      </c>
      <c r="C108" s="44">
        <v>28</v>
      </c>
      <c r="D108" s="44"/>
      <c r="E108" s="44"/>
      <c r="F108" s="44"/>
      <c r="G108" s="48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23.25" customHeight="1">
      <c r="A109" s="2" t="s">
        <v>2839</v>
      </c>
      <c r="B109" s="2"/>
      <c r="C109" s="2"/>
      <c r="D109" s="2"/>
      <c r="E109" s="2"/>
      <c r="F109" s="2"/>
      <c r="G109" s="48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23.25" customHeight="1">
      <c r="A110" s="51"/>
      <c r="B110" s="52"/>
      <c r="C110" s="52"/>
      <c r="D110" s="52"/>
      <c r="E110" s="52"/>
      <c r="F110" s="52"/>
      <c r="G110" s="52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23.25" customHeight="1">
      <c r="A111" s="43" t="s">
        <v>2858</v>
      </c>
      <c r="B111" s="44"/>
      <c r="C111" s="44"/>
      <c r="D111" s="44"/>
      <c r="E111" s="55">
        <f>C112</f>
        <v>70</v>
      </c>
      <c r="F111" s="44"/>
      <c r="G111" s="56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23.25" customHeight="1">
      <c r="A112" s="46"/>
      <c r="B112" s="47" t="s">
        <v>2805</v>
      </c>
      <c r="C112" s="48">
        <v>70</v>
      </c>
      <c r="D112" s="44">
        <v>140</v>
      </c>
      <c r="E112" s="44"/>
      <c r="F112" s="44"/>
      <c r="G112" s="56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23.25" customHeight="1">
      <c r="A113" s="46"/>
      <c r="B113" s="47" t="s">
        <v>2806</v>
      </c>
      <c r="C113" s="48">
        <v>80</v>
      </c>
      <c r="D113" s="44"/>
      <c r="E113" s="44"/>
      <c r="F113" s="44"/>
      <c r="G113" s="56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23.25" customHeight="1">
      <c r="A114" s="51"/>
      <c r="B114" s="52"/>
      <c r="C114" s="52"/>
      <c r="D114" s="52"/>
      <c r="E114" s="52"/>
      <c r="F114" s="52"/>
      <c r="G114" s="52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23.25" customHeight="1">
      <c r="A115" s="54" t="s">
        <v>2842</v>
      </c>
      <c r="B115" s="47" t="s">
        <v>2808</v>
      </c>
      <c r="C115" s="47" t="s">
        <v>2859</v>
      </c>
      <c r="D115" s="44"/>
      <c r="E115" s="44"/>
      <c r="F115" s="44"/>
      <c r="G115" s="48">
        <f>C112-6</f>
        <v>64</v>
      </c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40.5" customHeight="1">
      <c r="A116" s="46"/>
      <c r="B116" s="47" t="s">
        <v>2810</v>
      </c>
      <c r="C116" s="47" t="s">
        <v>2860</v>
      </c>
      <c r="D116" s="44"/>
      <c r="E116" s="44"/>
      <c r="F116" s="44"/>
      <c r="G116" s="48">
        <f>C113-44</f>
        <v>36</v>
      </c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78" customHeight="1">
      <c r="A117" s="54" t="s">
        <v>2817</v>
      </c>
      <c r="B117" s="47" t="s">
        <v>2818</v>
      </c>
      <c r="C117" s="47" t="s">
        <v>2831</v>
      </c>
      <c r="D117" s="44"/>
      <c r="E117" s="44"/>
      <c r="F117" s="44"/>
      <c r="G117" s="48">
        <f>G115-13</f>
        <v>51</v>
      </c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42.75" customHeight="1">
      <c r="A118" s="46"/>
      <c r="B118" s="47" t="s">
        <v>2820</v>
      </c>
      <c r="C118" s="47" t="s">
        <v>2832</v>
      </c>
      <c r="D118" s="44"/>
      <c r="E118" s="44"/>
      <c r="F118" s="44"/>
      <c r="G118" s="48">
        <f>G116-13</f>
        <v>23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21.75" customHeight="1">
      <c r="A119" s="54" t="s">
        <v>2854</v>
      </c>
      <c r="B119" s="47" t="s">
        <v>2818</v>
      </c>
      <c r="C119" s="47" t="s">
        <v>2861</v>
      </c>
      <c r="D119" s="44"/>
      <c r="E119" s="44"/>
      <c r="F119" s="44"/>
      <c r="G119" s="48">
        <f>C112-46.5</f>
        <v>23.5</v>
      </c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23.25" customHeight="1">
      <c r="A120" s="46"/>
      <c r="B120" s="47" t="s">
        <v>2820</v>
      </c>
      <c r="C120" s="44">
        <v>33</v>
      </c>
      <c r="D120" s="44"/>
      <c r="E120" s="44"/>
      <c r="F120" s="44"/>
      <c r="G120" s="48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23.25" customHeight="1">
      <c r="A121" s="2" t="s">
        <v>2839</v>
      </c>
      <c r="B121" s="2"/>
      <c r="C121" s="2"/>
      <c r="D121" s="2"/>
      <c r="E121" s="2"/>
      <c r="F121" s="2"/>
      <c r="G121" s="48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34.5" customHeight="1">
      <c r="A122" s="43" t="s">
        <v>2862</v>
      </c>
      <c r="B122" s="44"/>
      <c r="C122" s="44"/>
      <c r="D122" s="44"/>
      <c r="E122" s="55">
        <f>C123</f>
        <v>0</v>
      </c>
      <c r="F122" s="44"/>
      <c r="G122" s="56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34.5" customHeight="1">
      <c r="A123" s="46"/>
      <c r="B123" s="47" t="s">
        <v>2805</v>
      </c>
      <c r="C123" s="48">
        <v>0</v>
      </c>
      <c r="D123" s="44">
        <v>140</v>
      </c>
      <c r="E123" s="44"/>
      <c r="F123" s="44"/>
      <c r="G123" s="56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21.75" customHeight="1">
      <c r="A124" s="46"/>
      <c r="B124" s="47" t="s">
        <v>2806</v>
      </c>
      <c r="C124" s="48">
        <v>0</v>
      </c>
      <c r="D124" s="44"/>
      <c r="E124" s="44"/>
      <c r="F124" s="44"/>
      <c r="G124" s="56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23.25" customHeight="1">
      <c r="A125" s="51"/>
      <c r="B125" s="52"/>
      <c r="C125" s="52"/>
      <c r="D125" s="52"/>
      <c r="E125" s="52"/>
      <c r="F125" s="52"/>
      <c r="G125" s="52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23.25" customHeight="1">
      <c r="A126" s="54" t="s">
        <v>2842</v>
      </c>
      <c r="B126" s="47" t="s">
        <v>2808</v>
      </c>
      <c r="C126" s="47" t="s">
        <v>2829</v>
      </c>
      <c r="D126" s="44"/>
      <c r="E126" s="44"/>
      <c r="F126" s="44"/>
      <c r="G126" s="48">
        <f>C123-6</f>
        <v>-6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23.25" customHeight="1">
      <c r="A127" s="46"/>
      <c r="B127" s="47" t="s">
        <v>2810</v>
      </c>
      <c r="C127" s="47" t="s">
        <v>2830</v>
      </c>
      <c r="D127" s="44"/>
      <c r="E127" s="44"/>
      <c r="F127" s="44"/>
      <c r="G127" s="48">
        <f>C124-6</f>
        <v>-6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23.25" customHeight="1">
      <c r="A128" s="54" t="s">
        <v>2817</v>
      </c>
      <c r="B128" s="47" t="s">
        <v>2818</v>
      </c>
      <c r="C128" s="47" t="s">
        <v>2831</v>
      </c>
      <c r="D128" s="44"/>
      <c r="E128" s="44"/>
      <c r="F128" s="44"/>
      <c r="G128" s="48">
        <f>G126-13</f>
        <v>-19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23.25" customHeight="1">
      <c r="A129" s="46"/>
      <c r="B129" s="47" t="s">
        <v>2820</v>
      </c>
      <c r="C129" s="47" t="s">
        <v>2832</v>
      </c>
      <c r="D129" s="44"/>
      <c r="E129" s="44"/>
      <c r="F129" s="44"/>
      <c r="G129" s="48">
        <f>G127-13</f>
        <v>-19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34.5" customHeight="1">
      <c r="A130" s="2" t="s">
        <v>2839</v>
      </c>
      <c r="B130" s="2"/>
      <c r="C130" s="2"/>
      <c r="D130" s="2"/>
      <c r="E130" s="2"/>
      <c r="F130" s="2"/>
      <c r="G130" s="48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23.25" customHeight="1">
      <c r="A131" s="42"/>
      <c r="B131" s="42"/>
      <c r="C131" s="42"/>
      <c r="D131" s="42"/>
      <c r="E131" s="42"/>
      <c r="F131" s="42"/>
      <c r="G131" s="42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23.25" customHeight="1">
      <c r="A132" s="42"/>
      <c r="B132" s="42"/>
      <c r="C132" s="42"/>
      <c r="D132" s="42"/>
      <c r="E132" s="42"/>
      <c r="F132" s="42"/>
      <c r="G132" s="42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23.25" customHeight="1">
      <c r="A133" s="42"/>
      <c r="B133" s="42"/>
      <c r="C133" s="42"/>
      <c r="D133" s="42"/>
      <c r="E133" s="42"/>
      <c r="F133" s="42"/>
      <c r="G133" s="42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23.25" customHeight="1">
      <c r="A134" s="43" t="s">
        <v>2863</v>
      </c>
      <c r="B134" s="44"/>
      <c r="C134" s="44"/>
      <c r="D134" s="44"/>
      <c r="E134" s="44">
        <f>G134</f>
        <v>100</v>
      </c>
      <c r="F134" s="44"/>
      <c r="G134" s="45">
        <f>C135</f>
        <v>100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23.25" customHeight="1">
      <c r="A135" s="46"/>
      <c r="B135" s="47" t="s">
        <v>2805</v>
      </c>
      <c r="C135" s="48">
        <v>100</v>
      </c>
      <c r="D135" s="44">
        <f>F135</f>
        <v>100</v>
      </c>
      <c r="E135" s="44"/>
      <c r="F135" s="49">
        <f>C136</f>
        <v>100</v>
      </c>
      <c r="G135" s="50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23.25" customHeight="1">
      <c r="A136" s="46"/>
      <c r="B136" s="47" t="s">
        <v>2806</v>
      </c>
      <c r="C136" s="48">
        <v>100</v>
      </c>
      <c r="D136" s="44"/>
      <c r="E136" s="44"/>
      <c r="F136" s="44"/>
      <c r="G136" s="50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23.25" customHeight="1">
      <c r="A137" s="51"/>
      <c r="B137" s="52"/>
      <c r="C137" s="52"/>
      <c r="D137" s="52"/>
      <c r="E137" s="52"/>
      <c r="F137" s="52"/>
      <c r="G137" s="52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23.25" customHeight="1">
      <c r="A138" s="54" t="s">
        <v>2807</v>
      </c>
      <c r="B138" s="47" t="s">
        <v>2808</v>
      </c>
      <c r="C138" s="47" t="s">
        <v>2864</v>
      </c>
      <c r="D138" s="44"/>
      <c r="E138" s="44"/>
      <c r="F138" s="44"/>
      <c r="G138" s="48">
        <f>(C135+0.5)/2</f>
        <v>50.25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23.25" customHeight="1">
      <c r="A139" s="46"/>
      <c r="B139" s="47" t="s">
        <v>2810</v>
      </c>
      <c r="C139" s="47" t="s">
        <v>2811</v>
      </c>
      <c r="D139" s="44"/>
      <c r="E139" s="44"/>
      <c r="F139" s="44"/>
      <c r="G139" s="48">
        <f>C136-7.5</f>
        <v>92.5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23.25" customHeight="1">
      <c r="A140" s="54" t="s">
        <v>2812</v>
      </c>
      <c r="B140" s="47" t="s">
        <v>2813</v>
      </c>
      <c r="C140" s="47" t="s">
        <v>2814</v>
      </c>
      <c r="D140" s="44"/>
      <c r="E140" s="44"/>
      <c r="F140" s="44"/>
      <c r="G140" s="48">
        <f>G138</f>
        <v>50.25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23.25" customHeight="1">
      <c r="A141" s="46"/>
      <c r="B141" s="47" t="s">
        <v>2815</v>
      </c>
      <c r="C141" s="47" t="s">
        <v>2816</v>
      </c>
      <c r="D141" s="44"/>
      <c r="E141" s="44"/>
      <c r="F141" s="44"/>
      <c r="G141" s="48">
        <f>G139+2</f>
        <v>94.5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23.25" customHeight="1">
      <c r="A142" s="54" t="s">
        <v>2817</v>
      </c>
      <c r="B142" s="47" t="s">
        <v>2818</v>
      </c>
      <c r="C142" s="47" t="s">
        <v>2831</v>
      </c>
      <c r="D142" s="44"/>
      <c r="E142" s="44"/>
      <c r="F142" s="44"/>
      <c r="G142" s="48">
        <f>G138-13</f>
        <v>37.25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23.25" customHeight="1">
      <c r="A143" s="46"/>
      <c r="B143" s="47" t="s">
        <v>2820</v>
      </c>
      <c r="C143" s="47" t="s">
        <v>2832</v>
      </c>
      <c r="D143" s="44"/>
      <c r="E143" s="44"/>
      <c r="F143" s="44"/>
      <c r="G143" s="48">
        <f>G139-13</f>
        <v>79.5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48.75" customHeight="1">
      <c r="A144" s="46"/>
      <c r="B144" s="44"/>
      <c r="C144" s="44"/>
      <c r="D144" s="44"/>
      <c r="E144" s="44"/>
      <c r="F144" s="44"/>
      <c r="G144" s="48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34.5" customHeight="1">
      <c r="A145" s="51"/>
      <c r="B145" s="52"/>
      <c r="C145" s="52"/>
      <c r="D145" s="52"/>
      <c r="E145" s="52"/>
      <c r="F145" s="52"/>
      <c r="G145" s="52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34.5" customHeight="1">
      <c r="A146" s="43" t="s">
        <v>2865</v>
      </c>
      <c r="B146" s="44"/>
      <c r="C146" s="44"/>
      <c r="D146" s="44"/>
      <c r="E146" s="44">
        <f>G146</f>
        <v>100</v>
      </c>
      <c r="F146" s="44"/>
      <c r="G146" s="45">
        <f>C147</f>
        <v>100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21.75" customHeight="1">
      <c r="A147" s="46"/>
      <c r="B147" s="47" t="s">
        <v>2805</v>
      </c>
      <c r="C147" s="48">
        <v>100</v>
      </c>
      <c r="D147" s="44">
        <f>F147</f>
        <v>100</v>
      </c>
      <c r="E147" s="44"/>
      <c r="F147" s="49">
        <f>C148</f>
        <v>100</v>
      </c>
      <c r="G147" s="50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23.25" customHeight="1">
      <c r="A148" s="46"/>
      <c r="B148" s="47" t="s">
        <v>2806</v>
      </c>
      <c r="C148" s="48">
        <v>100</v>
      </c>
      <c r="D148" s="44"/>
      <c r="E148" s="44"/>
      <c r="F148" s="44"/>
      <c r="G148" s="50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23.25" customHeight="1">
      <c r="A149" s="51"/>
      <c r="B149" s="52"/>
      <c r="C149" s="52"/>
      <c r="D149" s="52"/>
      <c r="E149" s="52"/>
      <c r="F149" s="52"/>
      <c r="G149" s="52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23.25" customHeight="1">
      <c r="A150" s="54" t="s">
        <v>2807</v>
      </c>
      <c r="B150" s="47" t="s">
        <v>2808</v>
      </c>
      <c r="C150" s="47" t="s">
        <v>2866</v>
      </c>
      <c r="D150" s="44"/>
      <c r="E150" s="44"/>
      <c r="F150" s="44"/>
      <c r="G150" s="48">
        <f>(C147+8.2)/3</f>
        <v>36.06666666666667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23.25" customHeight="1">
      <c r="A151" s="46"/>
      <c r="B151" s="47" t="s">
        <v>2810</v>
      </c>
      <c r="C151" s="47" t="s">
        <v>2811</v>
      </c>
      <c r="D151" s="44"/>
      <c r="E151" s="44"/>
      <c r="F151" s="44"/>
      <c r="G151" s="48">
        <f>C148-7.5</f>
        <v>92.5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23.25" customHeight="1">
      <c r="A152" s="54" t="s">
        <v>2812</v>
      </c>
      <c r="B152" s="47" t="s">
        <v>2813</v>
      </c>
      <c r="C152" s="47" t="s">
        <v>2867</v>
      </c>
      <c r="D152" s="44"/>
      <c r="E152" s="44"/>
      <c r="F152" s="44"/>
      <c r="G152" s="48">
        <f>G150+2</f>
        <v>38.06666666666667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23.25" customHeight="1">
      <c r="A153" s="46"/>
      <c r="B153" s="47" t="s">
        <v>2815</v>
      </c>
      <c r="C153" s="47" t="s">
        <v>2825</v>
      </c>
      <c r="D153" s="44"/>
      <c r="E153" s="44"/>
      <c r="F153" s="44"/>
      <c r="G153" s="48">
        <f>G151+4</f>
        <v>96.5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23.25" customHeight="1">
      <c r="A154" s="54" t="s">
        <v>2817</v>
      </c>
      <c r="B154" s="47" t="s">
        <v>2818</v>
      </c>
      <c r="C154" s="47" t="s">
        <v>2831</v>
      </c>
      <c r="D154" s="44"/>
      <c r="E154" s="44"/>
      <c r="F154" s="44"/>
      <c r="G154" s="48">
        <f>G150-13</f>
        <v>23.06666666666667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23.25" customHeight="1">
      <c r="A155" s="46"/>
      <c r="B155" s="47" t="s">
        <v>2820</v>
      </c>
      <c r="C155" s="47" t="s">
        <v>2832</v>
      </c>
      <c r="D155" s="44"/>
      <c r="E155" s="44"/>
      <c r="F155" s="44"/>
      <c r="G155" s="48">
        <f>G151-13</f>
        <v>79.5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23.25" customHeight="1">
      <c r="A156" s="46"/>
      <c r="B156" s="44"/>
      <c r="C156" s="44"/>
      <c r="D156" s="44"/>
      <c r="E156" s="44"/>
      <c r="F156" s="44"/>
      <c r="G156" s="48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23.2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23.25" customHeight="1">
      <c r="A158" s="43" t="s">
        <v>2868</v>
      </c>
      <c r="B158" s="44"/>
      <c r="C158" s="44"/>
      <c r="D158" s="44"/>
      <c r="E158" s="44">
        <f>G158</f>
        <v>100</v>
      </c>
      <c r="F158" s="44"/>
      <c r="G158" s="45">
        <f>C159</f>
        <v>100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23.25" customHeight="1">
      <c r="A159" s="46"/>
      <c r="B159" s="47" t="s">
        <v>2805</v>
      </c>
      <c r="C159" s="48">
        <v>100</v>
      </c>
      <c r="D159" s="44">
        <f>F159</f>
        <v>100</v>
      </c>
      <c r="E159" s="44"/>
      <c r="F159" s="49">
        <f>C160</f>
        <v>100</v>
      </c>
      <c r="G159" s="50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23.25" customHeight="1">
      <c r="A160" s="46"/>
      <c r="B160" s="47" t="s">
        <v>2806</v>
      </c>
      <c r="C160" s="48">
        <v>100</v>
      </c>
      <c r="D160" s="44"/>
      <c r="E160" s="44"/>
      <c r="F160" s="44"/>
      <c r="G160" s="50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23.25" customHeight="1">
      <c r="A161" s="51"/>
      <c r="B161" s="52"/>
      <c r="C161" s="52"/>
      <c r="D161" s="52"/>
      <c r="E161" s="52"/>
      <c r="F161" s="52"/>
      <c r="G161" s="52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23.25" customHeight="1">
      <c r="A162" s="54" t="s">
        <v>2807</v>
      </c>
      <c r="B162" s="47" t="s">
        <v>2808</v>
      </c>
      <c r="C162" s="47" t="s">
        <v>2869</v>
      </c>
      <c r="D162" s="44"/>
      <c r="E162" s="44"/>
      <c r="F162" s="44"/>
      <c r="G162" s="48">
        <f>(C159+8)/4</f>
        <v>27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23.25" customHeight="1">
      <c r="A163" s="46"/>
      <c r="B163" s="47" t="s">
        <v>2810</v>
      </c>
      <c r="C163" s="47" t="s">
        <v>2811</v>
      </c>
      <c r="D163" s="44"/>
      <c r="E163" s="44"/>
      <c r="F163" s="44"/>
      <c r="G163" s="48">
        <f>C160-7.5</f>
        <v>92.5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23.25" customHeight="1">
      <c r="A164" s="54" t="s">
        <v>2812</v>
      </c>
      <c r="B164" s="47" t="s">
        <v>2813</v>
      </c>
      <c r="C164" s="47" t="s">
        <v>2814</v>
      </c>
      <c r="D164" s="44"/>
      <c r="E164" s="44"/>
      <c r="F164" s="44"/>
      <c r="G164" s="48">
        <f>G162</f>
        <v>27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23.25" customHeight="1">
      <c r="A165" s="46"/>
      <c r="B165" s="47" t="s">
        <v>2815</v>
      </c>
      <c r="C165" s="47" t="s">
        <v>2816</v>
      </c>
      <c r="D165" s="44"/>
      <c r="E165" s="44"/>
      <c r="F165" s="44"/>
      <c r="G165" s="48">
        <f>G163+2</f>
        <v>94.5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23.25" customHeight="1">
      <c r="A166" s="54" t="s">
        <v>2817</v>
      </c>
      <c r="B166" s="47" t="s">
        <v>2818</v>
      </c>
      <c r="C166" s="47" t="s">
        <v>2831</v>
      </c>
      <c r="D166" s="44"/>
      <c r="E166" s="44"/>
      <c r="F166" s="44"/>
      <c r="G166" s="48">
        <f>G162-13</f>
        <v>14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23.25" customHeight="1">
      <c r="A167" s="46"/>
      <c r="B167" s="47" t="s">
        <v>2820</v>
      </c>
      <c r="C167" s="47" t="s">
        <v>2832</v>
      </c>
      <c r="D167" s="44"/>
      <c r="E167" s="44"/>
      <c r="F167" s="44"/>
      <c r="G167" s="48">
        <f>G163-13</f>
        <v>79.5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23.25" customHeight="1">
      <c r="A168" s="46"/>
      <c r="B168" s="44"/>
      <c r="C168" s="44"/>
      <c r="D168" s="44"/>
      <c r="E168" s="44"/>
      <c r="F168" s="44"/>
      <c r="G168" s="48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23.25" customHeight="1">
      <c r="A169" s="51"/>
      <c r="B169" s="52"/>
      <c r="C169" s="52"/>
      <c r="D169" s="52"/>
      <c r="E169" s="52"/>
      <c r="F169" s="52"/>
      <c r="G169" s="52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23.25" customHeight="1">
      <c r="A170" s="43" t="s">
        <v>2870</v>
      </c>
      <c r="B170" s="44"/>
      <c r="C170" s="44"/>
      <c r="D170" s="44"/>
      <c r="E170" s="44">
        <f>G170</f>
        <v>100</v>
      </c>
      <c r="F170" s="44"/>
      <c r="G170" s="45">
        <f>C171</f>
        <v>100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23.25" customHeight="1">
      <c r="A171" s="46"/>
      <c r="B171" s="47" t="s">
        <v>2805</v>
      </c>
      <c r="C171" s="48">
        <v>100</v>
      </c>
      <c r="D171" s="44">
        <f>F171</f>
        <v>100</v>
      </c>
      <c r="E171" s="44"/>
      <c r="F171" s="49">
        <f>C172</f>
        <v>100</v>
      </c>
      <c r="G171" s="50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23.25" customHeight="1">
      <c r="A172" s="46"/>
      <c r="B172" s="47" t="s">
        <v>2806</v>
      </c>
      <c r="C172" s="48">
        <v>100</v>
      </c>
      <c r="D172" s="44"/>
      <c r="E172" s="44"/>
      <c r="F172" s="44"/>
      <c r="G172" s="50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23.25" customHeight="1">
      <c r="A173" s="51"/>
      <c r="B173" s="52"/>
      <c r="C173" s="52"/>
      <c r="D173" s="52"/>
      <c r="E173" s="52"/>
      <c r="F173" s="52"/>
      <c r="G173" s="52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23.25" customHeight="1">
      <c r="A174" s="54" t="s">
        <v>2807</v>
      </c>
      <c r="B174" s="47" t="s">
        <v>2808</v>
      </c>
      <c r="C174" s="47" t="s">
        <v>2871</v>
      </c>
      <c r="D174" s="44"/>
      <c r="E174" s="44"/>
      <c r="F174" s="44"/>
      <c r="G174" s="48">
        <f>(C171+2)/2</f>
        <v>51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23.25" customHeight="1">
      <c r="A175" s="46"/>
      <c r="B175" s="47" t="s">
        <v>2810</v>
      </c>
      <c r="C175" s="47" t="s">
        <v>2811</v>
      </c>
      <c r="D175" s="44"/>
      <c r="E175" s="44"/>
      <c r="F175" s="44"/>
      <c r="G175" s="48">
        <f>C172-7.5</f>
        <v>92.5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23.25" customHeight="1">
      <c r="A176" s="54" t="s">
        <v>2812</v>
      </c>
      <c r="B176" s="47" t="s">
        <v>2813</v>
      </c>
      <c r="C176" s="47" t="s">
        <v>2814</v>
      </c>
      <c r="D176" s="44"/>
      <c r="E176" s="44"/>
      <c r="F176" s="44"/>
      <c r="G176" s="48">
        <f>G174</f>
        <v>51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23.25" customHeight="1">
      <c r="A177" s="46"/>
      <c r="B177" s="47" t="s">
        <v>2815</v>
      </c>
      <c r="C177" s="47" t="s">
        <v>2816</v>
      </c>
      <c r="D177" s="44"/>
      <c r="E177" s="44"/>
      <c r="F177" s="44"/>
      <c r="G177" s="48">
        <f>G175+2</f>
        <v>94.5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23.25" customHeight="1">
      <c r="A178" s="54" t="s">
        <v>2817</v>
      </c>
      <c r="B178" s="47" t="s">
        <v>2818</v>
      </c>
      <c r="C178" s="47" t="s">
        <v>2872</v>
      </c>
      <c r="D178" s="44"/>
      <c r="E178" s="44"/>
      <c r="F178" s="44"/>
      <c r="G178" s="48">
        <f>G174-17</f>
        <v>34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23.25" customHeight="1">
      <c r="A179" s="46"/>
      <c r="B179" s="47" t="s">
        <v>2820</v>
      </c>
      <c r="C179" s="47" t="s">
        <v>2872</v>
      </c>
      <c r="D179" s="44"/>
      <c r="E179" s="44"/>
      <c r="F179" s="44"/>
      <c r="G179" s="48">
        <f>G175-17</f>
        <v>75.5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23.25" customHeight="1">
      <c r="A180" s="46"/>
      <c r="B180" s="44"/>
      <c r="C180" s="44"/>
      <c r="D180" s="44"/>
      <c r="E180" s="44"/>
      <c r="F180" s="44"/>
      <c r="G180" s="48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23.25" customHeight="1">
      <c r="A181" s="51"/>
      <c r="B181" s="52"/>
      <c r="C181" s="52"/>
      <c r="D181" s="52"/>
      <c r="E181" s="52"/>
      <c r="F181" s="52"/>
      <c r="G181" s="52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23.25" customHeight="1">
      <c r="A182" s="43" t="s">
        <v>2873</v>
      </c>
      <c r="B182" s="44"/>
      <c r="C182" s="44"/>
      <c r="D182" s="44"/>
      <c r="E182" s="44">
        <f>G182</f>
        <v>100</v>
      </c>
      <c r="F182" s="44"/>
      <c r="G182" s="45">
        <f>C183</f>
        <v>100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23.25" customHeight="1">
      <c r="A183" s="46"/>
      <c r="B183" s="47" t="s">
        <v>2805</v>
      </c>
      <c r="C183" s="48">
        <v>100</v>
      </c>
      <c r="D183" s="44">
        <f>F183</f>
        <v>100</v>
      </c>
      <c r="E183" s="44"/>
      <c r="F183" s="49">
        <f>C184</f>
        <v>100</v>
      </c>
      <c r="G183" s="50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23.25" customHeight="1">
      <c r="A184" s="46"/>
      <c r="B184" s="47" t="s">
        <v>2806</v>
      </c>
      <c r="C184" s="48">
        <v>100</v>
      </c>
      <c r="D184" s="44"/>
      <c r="E184" s="44"/>
      <c r="F184" s="44"/>
      <c r="G184" s="50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23.25" customHeight="1">
      <c r="A185" s="51"/>
      <c r="B185" s="52"/>
      <c r="C185" s="52"/>
      <c r="D185" s="52"/>
      <c r="E185" s="52"/>
      <c r="F185" s="52"/>
      <c r="G185" s="52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23.25" customHeight="1">
      <c r="A186" s="54" t="s">
        <v>2807</v>
      </c>
      <c r="B186" s="47" t="s">
        <v>2808</v>
      </c>
      <c r="C186" s="47" t="s">
        <v>2874</v>
      </c>
      <c r="D186" s="44"/>
      <c r="E186" s="44"/>
      <c r="F186" s="44"/>
      <c r="G186" s="48">
        <f>(C183+11.2)/3</f>
        <v>37.06666666666667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23.25" customHeight="1">
      <c r="A187" s="46"/>
      <c r="B187" s="47" t="s">
        <v>2810</v>
      </c>
      <c r="C187" s="47" t="s">
        <v>2811</v>
      </c>
      <c r="D187" s="44"/>
      <c r="E187" s="44"/>
      <c r="F187" s="44"/>
      <c r="G187" s="48">
        <f>C184-7.5</f>
        <v>92.5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23.25" customHeight="1">
      <c r="A188" s="54" t="s">
        <v>2812</v>
      </c>
      <c r="B188" s="47" t="s">
        <v>2813</v>
      </c>
      <c r="C188" s="47" t="s">
        <v>2875</v>
      </c>
      <c r="D188" s="44"/>
      <c r="E188" s="44"/>
      <c r="F188" s="44"/>
      <c r="G188" s="48">
        <f>G186+2</f>
        <v>39.06666666666667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23.25" customHeight="1">
      <c r="A189" s="46"/>
      <c r="B189" s="47" t="s">
        <v>2815</v>
      </c>
      <c r="C189" s="47" t="s">
        <v>2825</v>
      </c>
      <c r="D189" s="44"/>
      <c r="E189" s="44"/>
      <c r="F189" s="44"/>
      <c r="G189" s="48">
        <f>G187+4</f>
        <v>96.5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23.25" customHeight="1">
      <c r="A190" s="54" t="s">
        <v>2817</v>
      </c>
      <c r="B190" s="47" t="s">
        <v>2818</v>
      </c>
      <c r="C190" s="47" t="s">
        <v>2876</v>
      </c>
      <c r="D190" s="44"/>
      <c r="E190" s="44"/>
      <c r="F190" s="44"/>
      <c r="G190" s="48">
        <f>G186-17</f>
        <v>20.06666666666667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23.25" customHeight="1">
      <c r="A191" s="46"/>
      <c r="B191" s="47" t="s">
        <v>2820</v>
      </c>
      <c r="C191" s="47" t="s">
        <v>2876</v>
      </c>
      <c r="D191" s="44"/>
      <c r="E191" s="44"/>
      <c r="F191" s="44"/>
      <c r="G191" s="48">
        <f>G187-17</f>
        <v>75.5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23.25" customHeight="1">
      <c r="A192" s="46"/>
      <c r="B192" s="44"/>
      <c r="C192" s="44"/>
      <c r="D192" s="44"/>
      <c r="E192" s="44"/>
      <c r="F192" s="44"/>
      <c r="G192" s="48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23.25" customHeight="1">
      <c r="A193" s="51"/>
      <c r="B193" s="51"/>
      <c r="C193" s="51"/>
      <c r="D193" s="51"/>
      <c r="E193" s="51"/>
      <c r="F193" s="51"/>
      <c r="G193" s="51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23.25" customHeight="1">
      <c r="A194" s="43" t="s">
        <v>2877</v>
      </c>
      <c r="B194" s="44"/>
      <c r="C194" s="44"/>
      <c r="D194" s="44"/>
      <c r="E194" s="44">
        <f>G194</f>
        <v>100</v>
      </c>
      <c r="F194" s="44"/>
      <c r="G194" s="45">
        <f>C195</f>
        <v>100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23.25" customHeight="1">
      <c r="A195" s="46"/>
      <c r="B195" s="47" t="s">
        <v>2805</v>
      </c>
      <c r="C195" s="48">
        <v>100</v>
      </c>
      <c r="D195" s="44">
        <f>F195</f>
        <v>100</v>
      </c>
      <c r="E195" s="44"/>
      <c r="F195" s="49">
        <f>C196</f>
        <v>100</v>
      </c>
      <c r="G195" s="50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23.25" customHeight="1">
      <c r="A196" s="46"/>
      <c r="B196" s="47" t="s">
        <v>2806</v>
      </c>
      <c r="C196" s="48">
        <v>100</v>
      </c>
      <c r="D196" s="44"/>
      <c r="E196" s="44"/>
      <c r="F196" s="44"/>
      <c r="G196" s="50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23.25" customHeight="1">
      <c r="A197" s="51"/>
      <c r="B197" s="52"/>
      <c r="C197" s="52"/>
      <c r="D197" s="52"/>
      <c r="E197" s="52"/>
      <c r="F197" s="52"/>
      <c r="G197" s="52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23.25" customHeight="1">
      <c r="A198" s="54" t="s">
        <v>2807</v>
      </c>
      <c r="B198" s="47" t="s">
        <v>2808</v>
      </c>
      <c r="C198" s="47" t="s">
        <v>2878</v>
      </c>
      <c r="D198" s="44"/>
      <c r="E198" s="44"/>
      <c r="F198" s="44"/>
      <c r="G198" s="48">
        <f>(C195+11)/4</f>
        <v>27.75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23.25" customHeight="1">
      <c r="A199" s="46"/>
      <c r="B199" s="47" t="s">
        <v>2810</v>
      </c>
      <c r="C199" s="47" t="s">
        <v>2811</v>
      </c>
      <c r="D199" s="44"/>
      <c r="E199" s="44"/>
      <c r="F199" s="44"/>
      <c r="G199" s="48">
        <f>C196-7.5</f>
        <v>92.5</v>
      </c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23.25" customHeight="1">
      <c r="A200" s="54" t="s">
        <v>2812</v>
      </c>
      <c r="B200" s="47" t="s">
        <v>2813</v>
      </c>
      <c r="C200" s="47" t="s">
        <v>2814</v>
      </c>
      <c r="D200" s="44"/>
      <c r="E200" s="44"/>
      <c r="F200" s="44"/>
      <c r="G200" s="48">
        <f>G198</f>
        <v>27.75</v>
      </c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23.25" customHeight="1">
      <c r="A201" s="46"/>
      <c r="B201" s="47" t="s">
        <v>2815</v>
      </c>
      <c r="C201" s="47" t="s">
        <v>2816</v>
      </c>
      <c r="D201" s="44"/>
      <c r="E201" s="44"/>
      <c r="F201" s="44"/>
      <c r="G201" s="48">
        <f>G199+2</f>
        <v>94.5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23.25" customHeight="1">
      <c r="A202" s="54" t="s">
        <v>2817</v>
      </c>
      <c r="B202" s="47" t="s">
        <v>2818</v>
      </c>
      <c r="C202" s="47" t="s">
        <v>2876</v>
      </c>
      <c r="D202" s="44"/>
      <c r="E202" s="44"/>
      <c r="F202" s="44"/>
      <c r="G202" s="48">
        <f>G198-17</f>
        <v>10.75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23.25" customHeight="1">
      <c r="A203" s="46"/>
      <c r="B203" s="47" t="s">
        <v>2820</v>
      </c>
      <c r="C203" s="47" t="s">
        <v>2876</v>
      </c>
      <c r="D203" s="44"/>
      <c r="E203" s="44"/>
      <c r="F203" s="44"/>
      <c r="G203" s="48">
        <f>G199-17</f>
        <v>75.5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23.25" customHeight="1">
      <c r="A204" s="46"/>
      <c r="B204" s="44"/>
      <c r="C204" s="44"/>
      <c r="D204" s="44"/>
      <c r="E204" s="44"/>
      <c r="F204" s="44"/>
      <c r="G204" s="48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23.25" customHeight="1">
      <c r="A205" s="51"/>
      <c r="B205" s="52"/>
      <c r="C205" s="52"/>
      <c r="D205" s="52"/>
      <c r="E205" s="52"/>
      <c r="F205" s="52"/>
      <c r="G205" s="52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23.25" customHeight="1">
      <c r="A206" s="43" t="s">
        <v>2879</v>
      </c>
      <c r="B206" s="44"/>
      <c r="C206" s="44"/>
      <c r="D206" s="44"/>
      <c r="E206" s="55">
        <f>C207</f>
        <v>80</v>
      </c>
      <c r="F206" s="44"/>
      <c r="G206" s="5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23.25" customHeight="1">
      <c r="A207" s="46"/>
      <c r="B207" s="47" t="s">
        <v>2805</v>
      </c>
      <c r="C207" s="48">
        <v>80</v>
      </c>
      <c r="D207" s="44">
        <f>C208</f>
        <v>100</v>
      </c>
      <c r="E207" s="44"/>
      <c r="F207" s="44"/>
      <c r="G207" s="5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23.25" customHeight="1">
      <c r="A208" s="46"/>
      <c r="B208" s="47" t="s">
        <v>2806</v>
      </c>
      <c r="C208" s="48">
        <v>100</v>
      </c>
      <c r="D208" s="44"/>
      <c r="E208" s="44"/>
      <c r="F208" s="44"/>
      <c r="G208" s="5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23.25" customHeight="1">
      <c r="A209" s="51"/>
      <c r="B209" s="52"/>
      <c r="C209" s="52"/>
      <c r="D209" s="52"/>
      <c r="E209" s="52"/>
      <c r="F209" s="52"/>
      <c r="G209" s="52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23.25" customHeight="1">
      <c r="A210" s="54" t="s">
        <v>2807</v>
      </c>
      <c r="B210" s="47" t="s">
        <v>2808</v>
      </c>
      <c r="C210" s="47" t="s">
        <v>2880</v>
      </c>
      <c r="D210" s="44"/>
      <c r="E210" s="44"/>
      <c r="F210" s="44"/>
      <c r="G210" s="48">
        <f>C207-7</f>
        <v>73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23.25" customHeight="1">
      <c r="A211" s="46"/>
      <c r="B211" s="47" t="s">
        <v>2810</v>
      </c>
      <c r="C211" s="47" t="s">
        <v>2881</v>
      </c>
      <c r="D211" s="44"/>
      <c r="E211" s="44"/>
      <c r="F211" s="44"/>
      <c r="G211" s="48">
        <f>C208-7</f>
        <v>93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23.25" customHeight="1">
      <c r="A212" s="54" t="s">
        <v>2817</v>
      </c>
      <c r="B212" s="47" t="s">
        <v>2818</v>
      </c>
      <c r="C212" s="47" t="s">
        <v>2831</v>
      </c>
      <c r="D212" s="44"/>
      <c r="E212" s="44"/>
      <c r="F212" s="44"/>
      <c r="G212" s="48">
        <f>G210-13</f>
        <v>60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23.25" customHeight="1">
      <c r="A213" s="46"/>
      <c r="B213" s="47" t="s">
        <v>2820</v>
      </c>
      <c r="C213" s="47" t="s">
        <v>2832</v>
      </c>
      <c r="D213" s="44"/>
      <c r="E213" s="44"/>
      <c r="F213" s="44"/>
      <c r="G213" s="48">
        <f>G211-13</f>
        <v>80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23.25" customHeight="1">
      <c r="A214" s="57" t="s">
        <v>2833</v>
      </c>
      <c r="B214" s="58"/>
      <c r="C214" s="58"/>
      <c r="D214" s="58"/>
      <c r="E214" s="58"/>
      <c r="F214" s="58"/>
      <c r="G214" s="48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23.25" customHeight="1">
      <c r="A215" s="54" t="s">
        <v>2834</v>
      </c>
      <c r="B215" s="47" t="s">
        <v>2835</v>
      </c>
      <c r="C215" s="47" t="s">
        <v>2836</v>
      </c>
      <c r="D215" s="44"/>
      <c r="E215" s="44"/>
      <c r="F215" s="44"/>
      <c r="G215" s="48">
        <f>G210-10.5</f>
        <v>62.5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23.25" customHeight="1">
      <c r="A216" s="46"/>
      <c r="B216" s="47" t="s">
        <v>2837</v>
      </c>
      <c r="C216" s="47" t="s">
        <v>2838</v>
      </c>
      <c r="D216" s="44"/>
      <c r="E216" s="44"/>
      <c r="F216" s="44"/>
      <c r="G216" s="48">
        <f>G211-10.5</f>
        <v>82.5</v>
      </c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23.25" customHeight="1">
      <c r="A217" s="2" t="s">
        <v>2839</v>
      </c>
      <c r="B217" s="2"/>
      <c r="C217" s="2"/>
      <c r="D217" s="2"/>
      <c r="E217" s="2"/>
      <c r="F217" s="2"/>
      <c r="G217" s="48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23.25" customHeight="1">
      <c r="A218" s="2" t="s">
        <v>2840</v>
      </c>
      <c r="B218" s="2"/>
      <c r="C218" s="2"/>
      <c r="D218" s="2"/>
      <c r="E218" s="2"/>
      <c r="F218" s="2"/>
      <c r="G218" s="48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23.25" customHeight="1">
      <c r="A219" s="51"/>
      <c r="B219" s="52"/>
      <c r="C219" s="52"/>
      <c r="D219" s="52"/>
      <c r="E219" s="52"/>
      <c r="F219" s="52"/>
      <c r="G219" s="52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23.25" customHeight="1">
      <c r="A220" s="43" t="s">
        <v>2882</v>
      </c>
      <c r="B220" s="44"/>
      <c r="C220" s="44"/>
      <c r="D220" s="44"/>
      <c r="E220" s="55">
        <f>C221</f>
        <v>80</v>
      </c>
      <c r="F220" s="44"/>
      <c r="G220" s="5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23.25" customHeight="1">
      <c r="A221" s="46"/>
      <c r="B221" s="47" t="s">
        <v>2805</v>
      </c>
      <c r="C221" s="48">
        <v>80</v>
      </c>
      <c r="D221" s="44">
        <f>C222</f>
        <v>100</v>
      </c>
      <c r="E221" s="44"/>
      <c r="F221" s="44"/>
      <c r="G221" s="5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23.25" customHeight="1">
      <c r="A222" s="46"/>
      <c r="B222" s="47" t="s">
        <v>2806</v>
      </c>
      <c r="C222" s="48">
        <v>100</v>
      </c>
      <c r="D222" s="44"/>
      <c r="E222" s="44"/>
      <c r="F222" s="44"/>
      <c r="G222" s="5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23.25" customHeight="1">
      <c r="A223" s="51"/>
      <c r="B223" s="52"/>
      <c r="C223" s="52"/>
      <c r="D223" s="52"/>
      <c r="E223" s="52"/>
      <c r="F223" s="52"/>
      <c r="G223" s="52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23.25" customHeight="1">
      <c r="A224" s="54" t="s">
        <v>2807</v>
      </c>
      <c r="B224" s="47" t="s">
        <v>2808</v>
      </c>
      <c r="C224" s="47" t="s">
        <v>2883</v>
      </c>
      <c r="D224" s="44"/>
      <c r="E224" s="44"/>
      <c r="F224" s="44"/>
      <c r="G224" s="48">
        <f>C221-4.5</f>
        <v>75.5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23.25" customHeight="1">
      <c r="A225" s="46"/>
      <c r="B225" s="47" t="s">
        <v>2810</v>
      </c>
      <c r="C225" s="47" t="s">
        <v>2884</v>
      </c>
      <c r="D225" s="44"/>
      <c r="E225" s="44"/>
      <c r="F225" s="44"/>
      <c r="G225" s="48">
        <f>C222-4.5</f>
        <v>95.5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23.25" customHeight="1">
      <c r="A226" s="54" t="s">
        <v>2817</v>
      </c>
      <c r="B226" s="47" t="s">
        <v>2818</v>
      </c>
      <c r="C226" s="47" t="s">
        <v>2831</v>
      </c>
      <c r="D226" s="44"/>
      <c r="E226" s="44"/>
      <c r="F226" s="44"/>
      <c r="G226" s="48">
        <f>G224-13</f>
        <v>62.5</v>
      </c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23.25" customHeight="1">
      <c r="A227" s="46"/>
      <c r="B227" s="47" t="s">
        <v>2820</v>
      </c>
      <c r="C227" s="47" t="s">
        <v>2832</v>
      </c>
      <c r="D227" s="44"/>
      <c r="E227" s="44"/>
      <c r="F227" s="44"/>
      <c r="G227" s="48">
        <f>G225-13</f>
        <v>82.5</v>
      </c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23.25" customHeight="1">
      <c r="A228" s="57" t="s">
        <v>2833</v>
      </c>
      <c r="B228" s="58"/>
      <c r="C228" s="58"/>
      <c r="D228" s="58"/>
      <c r="E228" s="58"/>
      <c r="F228" s="58"/>
      <c r="G228" s="48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23.25" customHeight="1">
      <c r="A229" s="54" t="s">
        <v>2834</v>
      </c>
      <c r="B229" s="47" t="s">
        <v>2835</v>
      </c>
      <c r="C229" s="47" t="s">
        <v>2836</v>
      </c>
      <c r="D229" s="44"/>
      <c r="E229" s="44"/>
      <c r="F229" s="44"/>
      <c r="G229" s="48">
        <f>G224-10.5</f>
        <v>65</v>
      </c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23.25" customHeight="1">
      <c r="A230" s="46"/>
      <c r="B230" s="47" t="s">
        <v>2837</v>
      </c>
      <c r="C230" s="47" t="s">
        <v>2838</v>
      </c>
      <c r="D230" s="44"/>
      <c r="E230" s="44"/>
      <c r="F230" s="44"/>
      <c r="G230" s="48">
        <f>G225-10.5</f>
        <v>85</v>
      </c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23.25" customHeight="1">
      <c r="A231" s="2" t="s">
        <v>2839</v>
      </c>
      <c r="B231" s="2"/>
      <c r="C231" s="2"/>
      <c r="D231" s="2"/>
      <c r="E231" s="2"/>
      <c r="F231" s="2"/>
      <c r="G231" s="48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23.25" customHeight="1">
      <c r="A232" s="2" t="s">
        <v>2840</v>
      </c>
      <c r="B232" s="2"/>
      <c r="C232" s="2"/>
      <c r="D232" s="2"/>
      <c r="E232" s="2"/>
      <c r="F232" s="2"/>
      <c r="G232" s="48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23.25" customHeight="1">
      <c r="A233" s="51"/>
      <c r="B233" s="52"/>
      <c r="C233" s="52"/>
      <c r="D233" s="52"/>
      <c r="E233" s="52"/>
      <c r="F233" s="52"/>
      <c r="G233" s="52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23.25" customHeight="1">
      <c r="A234" s="43" t="s">
        <v>2885</v>
      </c>
      <c r="B234" s="44"/>
      <c r="C234" s="44"/>
      <c r="D234" s="44"/>
      <c r="E234" s="55">
        <f>C235</f>
        <v>80</v>
      </c>
      <c r="F234" s="44"/>
      <c r="G234" s="5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23.25" customHeight="1">
      <c r="A235" s="46"/>
      <c r="B235" s="47" t="s">
        <v>2805</v>
      </c>
      <c r="C235" s="48">
        <v>80</v>
      </c>
      <c r="D235" s="44">
        <f>C236</f>
        <v>100</v>
      </c>
      <c r="E235" s="44"/>
      <c r="F235" s="44"/>
      <c r="G235" s="5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23.25" customHeight="1">
      <c r="A236" s="46"/>
      <c r="B236" s="47" t="s">
        <v>2806</v>
      </c>
      <c r="C236" s="48">
        <v>100</v>
      </c>
      <c r="D236" s="44"/>
      <c r="E236" s="44"/>
      <c r="F236" s="44"/>
      <c r="G236" s="5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23.25" customHeight="1">
      <c r="A237" s="51"/>
      <c r="B237" s="52"/>
      <c r="C237" s="52"/>
      <c r="D237" s="52"/>
      <c r="E237" s="52"/>
      <c r="F237" s="52"/>
      <c r="G237" s="52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23.25" customHeight="1">
      <c r="A238" s="54" t="s">
        <v>2807</v>
      </c>
      <c r="B238" s="47" t="s">
        <v>2808</v>
      </c>
      <c r="C238" s="47" t="s">
        <v>2886</v>
      </c>
      <c r="D238" s="44"/>
      <c r="E238" s="44"/>
      <c r="F238" s="44"/>
      <c r="G238" s="48">
        <f>C235-5</f>
        <v>75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23.25" customHeight="1">
      <c r="A239" s="46"/>
      <c r="B239" s="47" t="s">
        <v>2810</v>
      </c>
      <c r="C239" s="47" t="s">
        <v>2886</v>
      </c>
      <c r="D239" s="44"/>
      <c r="E239" s="44"/>
      <c r="F239" s="44"/>
      <c r="G239" s="48">
        <f>C236-5</f>
        <v>95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23.25" customHeight="1">
      <c r="A240" s="54" t="s">
        <v>2817</v>
      </c>
      <c r="B240" s="47" t="s">
        <v>2818</v>
      </c>
      <c r="C240" s="47" t="s">
        <v>2831</v>
      </c>
      <c r="D240" s="44"/>
      <c r="E240" s="44"/>
      <c r="F240" s="44"/>
      <c r="G240" s="48">
        <f>G238-13</f>
        <v>62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23.25" customHeight="1">
      <c r="A241" s="46"/>
      <c r="B241" s="47" t="s">
        <v>2820</v>
      </c>
      <c r="C241" s="47" t="s">
        <v>2832</v>
      </c>
      <c r="D241" s="44"/>
      <c r="E241" s="44"/>
      <c r="F241" s="44"/>
      <c r="G241" s="48">
        <f>G239-13</f>
        <v>82</v>
      </c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23.25" customHeight="1">
      <c r="A242" s="57" t="s">
        <v>2833</v>
      </c>
      <c r="B242" s="58"/>
      <c r="C242" s="58"/>
      <c r="D242" s="58"/>
      <c r="E242" s="58"/>
      <c r="F242" s="58"/>
      <c r="G242" s="48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23.25" customHeight="1">
      <c r="A243" s="54" t="s">
        <v>2834</v>
      </c>
      <c r="B243" s="47" t="s">
        <v>2835</v>
      </c>
      <c r="C243" s="47" t="s">
        <v>2836</v>
      </c>
      <c r="D243" s="44"/>
      <c r="E243" s="44"/>
      <c r="F243" s="44"/>
      <c r="G243" s="48">
        <f>G238-10.5</f>
        <v>64.5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23.25" customHeight="1">
      <c r="A244" s="46"/>
      <c r="B244" s="47" t="s">
        <v>2837</v>
      </c>
      <c r="C244" s="47" t="s">
        <v>2838</v>
      </c>
      <c r="D244" s="44"/>
      <c r="E244" s="44"/>
      <c r="F244" s="44"/>
      <c r="G244" s="48">
        <f>G239-10.5</f>
        <v>84.5</v>
      </c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23.25" customHeight="1">
      <c r="A245" s="2" t="s">
        <v>2839</v>
      </c>
      <c r="B245" s="2"/>
      <c r="C245" s="2"/>
      <c r="D245" s="2"/>
      <c r="E245" s="2"/>
      <c r="F245" s="2"/>
      <c r="G245" s="48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23.25" customHeight="1">
      <c r="A246" s="2" t="s">
        <v>2840</v>
      </c>
      <c r="B246" s="2"/>
      <c r="C246" s="2"/>
      <c r="D246" s="2"/>
      <c r="E246" s="2"/>
      <c r="F246" s="2"/>
      <c r="G246" s="48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23.25" customHeight="1">
      <c r="A247" s="51"/>
      <c r="B247" s="52"/>
      <c r="C247" s="52"/>
      <c r="D247" s="52"/>
      <c r="E247" s="52"/>
      <c r="F247" s="52"/>
      <c r="G247" s="52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23.25" customHeight="1">
      <c r="A248" s="43" t="s">
        <v>2887</v>
      </c>
      <c r="B248" s="44"/>
      <c r="C248" s="44"/>
      <c r="D248" s="44"/>
      <c r="E248" s="55">
        <f>C249</f>
        <v>100</v>
      </c>
      <c r="F248" s="44"/>
      <c r="G248" s="5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23.25" customHeight="1">
      <c r="A249" s="46"/>
      <c r="B249" s="47" t="s">
        <v>2805</v>
      </c>
      <c r="C249" s="48">
        <v>100</v>
      </c>
      <c r="D249" s="44">
        <f>C250</f>
        <v>120</v>
      </c>
      <c r="E249" s="44"/>
      <c r="F249" s="44"/>
      <c r="G249" s="5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23.25" customHeight="1">
      <c r="A250" s="46"/>
      <c r="B250" s="47" t="s">
        <v>2806</v>
      </c>
      <c r="C250" s="48">
        <v>120</v>
      </c>
      <c r="D250" s="44"/>
      <c r="E250" s="44"/>
      <c r="F250" s="44"/>
      <c r="G250" s="5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23.25" customHeight="1">
      <c r="A251" s="51"/>
      <c r="B251" s="52"/>
      <c r="C251" s="52"/>
      <c r="D251" s="52"/>
      <c r="E251" s="52"/>
      <c r="F251" s="52"/>
      <c r="G251" s="52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23.25" customHeight="1">
      <c r="A252" s="54" t="s">
        <v>2842</v>
      </c>
      <c r="B252" s="47" t="s">
        <v>2808</v>
      </c>
      <c r="C252" s="47" t="s">
        <v>2888</v>
      </c>
      <c r="D252" s="44"/>
      <c r="E252" s="44"/>
      <c r="F252" s="44">
        <f>C249-7</f>
        <v>93</v>
      </c>
      <c r="G252" s="48">
        <f>F252/2</f>
        <v>46.5</v>
      </c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23.25" customHeight="1">
      <c r="A253" s="46"/>
      <c r="B253" s="47" t="s">
        <v>2810</v>
      </c>
      <c r="C253" s="47" t="s">
        <v>2881</v>
      </c>
      <c r="D253" s="44"/>
      <c r="E253" s="44"/>
      <c r="F253" s="44"/>
      <c r="G253" s="48">
        <f>C250-7</f>
        <v>113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23.25" customHeight="1">
      <c r="A254" s="54" t="s">
        <v>2817</v>
      </c>
      <c r="B254" s="47" t="s">
        <v>2818</v>
      </c>
      <c r="C254" s="47" t="s">
        <v>2831</v>
      </c>
      <c r="D254" s="44"/>
      <c r="E254" s="44"/>
      <c r="F254" s="44"/>
      <c r="G254" s="48">
        <f>G252-13</f>
        <v>33.5</v>
      </c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23.25" customHeight="1">
      <c r="A255" s="46"/>
      <c r="B255" s="47" t="s">
        <v>2820</v>
      </c>
      <c r="C255" s="47" t="s">
        <v>2832</v>
      </c>
      <c r="D255" s="44"/>
      <c r="E255" s="44"/>
      <c r="F255" s="44"/>
      <c r="G255" s="48">
        <f>G253-13</f>
        <v>100</v>
      </c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23.25" customHeight="1">
      <c r="A256" s="57" t="s">
        <v>2833</v>
      </c>
      <c r="B256" s="58"/>
      <c r="C256" s="58"/>
      <c r="D256" s="58"/>
      <c r="E256" s="58"/>
      <c r="F256" s="58"/>
      <c r="G256" s="48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23.25" customHeight="1">
      <c r="A257" s="54" t="s">
        <v>2834</v>
      </c>
      <c r="B257" s="47" t="s">
        <v>2835</v>
      </c>
      <c r="C257" s="47" t="s">
        <v>2836</v>
      </c>
      <c r="D257" s="44"/>
      <c r="E257" s="44"/>
      <c r="F257" s="44"/>
      <c r="G257" s="48">
        <f>G252-10.5</f>
        <v>36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23.25" customHeight="1">
      <c r="A258" s="46"/>
      <c r="B258" s="47" t="s">
        <v>2837</v>
      </c>
      <c r="C258" s="47" t="s">
        <v>2838</v>
      </c>
      <c r="D258" s="44"/>
      <c r="E258" s="44"/>
      <c r="F258" s="44"/>
      <c r="G258" s="48">
        <f>G253-10.5</f>
        <v>102.5</v>
      </c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23.25" customHeight="1">
      <c r="A259" s="2" t="s">
        <v>2839</v>
      </c>
      <c r="B259" s="2"/>
      <c r="C259" s="2"/>
      <c r="D259" s="2"/>
      <c r="E259" s="2"/>
      <c r="F259" s="2"/>
      <c r="G259" s="48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23.25" customHeight="1">
      <c r="A260" s="2" t="s">
        <v>2840</v>
      </c>
      <c r="B260" s="2"/>
      <c r="C260" s="2"/>
      <c r="D260" s="2"/>
      <c r="E260" s="2"/>
      <c r="F260" s="2"/>
      <c r="G260" s="48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23.25" customHeight="1">
      <c r="A261" s="2" t="s">
        <v>2844</v>
      </c>
      <c r="B261" s="2"/>
      <c r="C261" s="2"/>
      <c r="D261" s="2"/>
      <c r="E261" s="2"/>
      <c r="F261" s="2"/>
      <c r="G261" s="48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23.25" customHeight="1">
      <c r="A262" s="2" t="s">
        <v>2845</v>
      </c>
      <c r="B262" s="2"/>
      <c r="C262" s="2"/>
      <c r="D262" s="2"/>
      <c r="E262" s="2"/>
      <c r="F262" s="2"/>
      <c r="G262" s="48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23.25" customHeight="1">
      <c r="A263" s="2" t="s">
        <v>2846</v>
      </c>
      <c r="B263" s="2"/>
      <c r="C263" s="2"/>
      <c r="D263" s="2"/>
      <c r="E263" s="2"/>
      <c r="F263" s="2"/>
      <c r="G263" s="48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23.25" customHeight="1">
      <c r="A264" s="51"/>
      <c r="B264" s="52"/>
      <c r="C264" s="52"/>
      <c r="D264" s="52"/>
      <c r="E264" s="52"/>
      <c r="F264" s="52"/>
      <c r="G264" s="52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23.25" customHeight="1">
      <c r="A265" s="43" t="s">
        <v>2889</v>
      </c>
      <c r="B265" s="44"/>
      <c r="C265" s="44"/>
      <c r="D265" s="44"/>
      <c r="E265" s="55">
        <f>C266</f>
        <v>100</v>
      </c>
      <c r="F265" s="44"/>
      <c r="G265" s="5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23.25" customHeight="1">
      <c r="A266" s="46"/>
      <c r="B266" s="47" t="s">
        <v>2805</v>
      </c>
      <c r="C266" s="48">
        <v>100</v>
      </c>
      <c r="D266" s="44">
        <f>C267</f>
        <v>120</v>
      </c>
      <c r="E266" s="44"/>
      <c r="F266" s="44"/>
      <c r="G266" s="5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23.25" customHeight="1">
      <c r="A267" s="46"/>
      <c r="B267" s="47" t="s">
        <v>2806</v>
      </c>
      <c r="C267" s="48">
        <v>120</v>
      </c>
      <c r="D267" s="44"/>
      <c r="E267" s="44"/>
      <c r="F267" s="44"/>
      <c r="G267" s="5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23.25" customHeight="1">
      <c r="A268" s="51"/>
      <c r="B268" s="52"/>
      <c r="C268" s="52"/>
      <c r="D268" s="52"/>
      <c r="E268" s="52"/>
      <c r="F268" s="52"/>
      <c r="G268" s="52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23.25" customHeight="1">
      <c r="A269" s="54" t="s">
        <v>2842</v>
      </c>
      <c r="B269" s="47" t="s">
        <v>2808</v>
      </c>
      <c r="C269" s="47" t="s">
        <v>2890</v>
      </c>
      <c r="D269" s="44"/>
      <c r="E269" s="44"/>
      <c r="F269" s="44">
        <f>C266-5</f>
        <v>95</v>
      </c>
      <c r="G269" s="48">
        <f>F269/2</f>
        <v>47.5</v>
      </c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23.25" customHeight="1">
      <c r="A270" s="46"/>
      <c r="B270" s="47" t="s">
        <v>2810</v>
      </c>
      <c r="C270" s="47" t="s">
        <v>2884</v>
      </c>
      <c r="D270" s="44"/>
      <c r="E270" s="44"/>
      <c r="F270" s="44"/>
      <c r="G270" s="48">
        <f>C267-4.5</f>
        <v>115.5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23.25" customHeight="1">
      <c r="A271" s="54" t="s">
        <v>2817</v>
      </c>
      <c r="B271" s="47" t="s">
        <v>2818</v>
      </c>
      <c r="C271" s="47" t="s">
        <v>2831</v>
      </c>
      <c r="D271" s="44"/>
      <c r="E271" s="44"/>
      <c r="F271" s="44"/>
      <c r="G271" s="48">
        <f>G269-13</f>
        <v>34.5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23.25" customHeight="1">
      <c r="A272" s="46"/>
      <c r="B272" s="47" t="s">
        <v>2820</v>
      </c>
      <c r="C272" s="47" t="s">
        <v>2832</v>
      </c>
      <c r="D272" s="44"/>
      <c r="E272" s="44"/>
      <c r="F272" s="44"/>
      <c r="G272" s="48">
        <f>G270-13</f>
        <v>102.5</v>
      </c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23.25" customHeight="1">
      <c r="A273" s="57" t="s">
        <v>2833</v>
      </c>
      <c r="B273" s="58"/>
      <c r="C273" s="58"/>
      <c r="D273" s="58"/>
      <c r="E273" s="58"/>
      <c r="F273" s="58"/>
      <c r="G273" s="48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23.25" customHeight="1">
      <c r="A274" s="54" t="s">
        <v>2834</v>
      </c>
      <c r="B274" s="47" t="s">
        <v>2835</v>
      </c>
      <c r="C274" s="47" t="s">
        <v>2836</v>
      </c>
      <c r="D274" s="44"/>
      <c r="E274" s="44"/>
      <c r="F274" s="44"/>
      <c r="G274" s="48">
        <f>G269-10.5</f>
        <v>37</v>
      </c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23.25" customHeight="1">
      <c r="A275" s="46"/>
      <c r="B275" s="47" t="s">
        <v>2837</v>
      </c>
      <c r="C275" s="47" t="s">
        <v>2838</v>
      </c>
      <c r="D275" s="44"/>
      <c r="E275" s="44"/>
      <c r="F275" s="44"/>
      <c r="G275" s="48">
        <f>G270-10.5</f>
        <v>105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23.25" customHeight="1">
      <c r="A276" s="2" t="s">
        <v>2839</v>
      </c>
      <c r="B276" s="2"/>
      <c r="C276" s="2"/>
      <c r="D276" s="2"/>
      <c r="E276" s="2"/>
      <c r="F276" s="2"/>
      <c r="G276" s="48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23.25" customHeight="1">
      <c r="A277" s="2" t="s">
        <v>2840</v>
      </c>
      <c r="B277" s="2"/>
      <c r="C277" s="2"/>
      <c r="D277" s="2"/>
      <c r="E277" s="2"/>
      <c r="F277" s="2"/>
      <c r="G277" s="48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23.25" customHeight="1">
      <c r="A278" s="2" t="s">
        <v>2844</v>
      </c>
      <c r="B278" s="2"/>
      <c r="C278" s="2"/>
      <c r="D278" s="2"/>
      <c r="E278" s="2"/>
      <c r="F278" s="2"/>
      <c r="G278" s="48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23.25" customHeight="1">
      <c r="A279" s="2" t="s">
        <v>2845</v>
      </c>
      <c r="B279" s="2"/>
      <c r="C279" s="2"/>
      <c r="D279" s="2"/>
      <c r="E279" s="2"/>
      <c r="F279" s="2"/>
      <c r="G279" s="48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23.25" customHeight="1">
      <c r="A280" s="2" t="s">
        <v>2846</v>
      </c>
      <c r="B280" s="2"/>
      <c r="C280" s="2"/>
      <c r="D280" s="2"/>
      <c r="E280" s="2"/>
      <c r="F280" s="2"/>
      <c r="G280" s="48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23.25" customHeight="1">
      <c r="A281" s="51"/>
      <c r="B281" s="52"/>
      <c r="C281" s="52"/>
      <c r="D281" s="52"/>
      <c r="E281" s="52"/>
      <c r="F281" s="52"/>
      <c r="G281" s="52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23.25" customHeight="1">
      <c r="A282" s="43" t="s">
        <v>2891</v>
      </c>
      <c r="B282" s="44"/>
      <c r="C282" s="44"/>
      <c r="D282" s="44"/>
      <c r="E282" s="55">
        <f>C283</f>
        <v>100</v>
      </c>
      <c r="F282" s="44"/>
      <c r="G282" s="5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23.25" customHeight="1">
      <c r="A283" s="46"/>
      <c r="B283" s="47" t="s">
        <v>2805</v>
      </c>
      <c r="C283" s="48">
        <v>100</v>
      </c>
      <c r="D283" s="44">
        <f>C284</f>
        <v>120</v>
      </c>
      <c r="E283" s="44"/>
      <c r="F283" s="44"/>
      <c r="G283" s="5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23.25" customHeight="1">
      <c r="A284" s="46"/>
      <c r="B284" s="47" t="s">
        <v>2806</v>
      </c>
      <c r="C284" s="48">
        <v>120</v>
      </c>
      <c r="D284" s="44"/>
      <c r="E284" s="44"/>
      <c r="F284" s="44"/>
      <c r="G284" s="5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23.25" customHeight="1">
      <c r="A285" s="51"/>
      <c r="B285" s="52"/>
      <c r="C285" s="52"/>
      <c r="D285" s="52"/>
      <c r="E285" s="52"/>
      <c r="F285" s="52"/>
      <c r="G285" s="52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23.25" customHeight="1">
      <c r="A286" s="54" t="s">
        <v>2842</v>
      </c>
      <c r="B286" s="47" t="s">
        <v>2808</v>
      </c>
      <c r="C286" s="47" t="s">
        <v>2892</v>
      </c>
      <c r="D286" s="44"/>
      <c r="E286" s="44"/>
      <c r="F286" s="44">
        <f>C283-5.5</f>
        <v>94.5</v>
      </c>
      <c r="G286" s="48">
        <f>F286/2</f>
        <v>47.25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23.25" customHeight="1">
      <c r="A287" s="46"/>
      <c r="B287" s="47" t="s">
        <v>2810</v>
      </c>
      <c r="C287" s="47" t="s">
        <v>2893</v>
      </c>
      <c r="D287" s="44"/>
      <c r="E287" s="44"/>
      <c r="F287" s="44"/>
      <c r="G287" s="48">
        <f>C284-5</f>
        <v>115</v>
      </c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23.25" customHeight="1">
      <c r="A288" s="54" t="s">
        <v>2817</v>
      </c>
      <c r="B288" s="47" t="s">
        <v>2818</v>
      </c>
      <c r="C288" s="47" t="s">
        <v>2831</v>
      </c>
      <c r="D288" s="44"/>
      <c r="E288" s="44"/>
      <c r="F288" s="44"/>
      <c r="G288" s="48">
        <f>G286-13</f>
        <v>34.25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23.25" customHeight="1">
      <c r="A289" s="46"/>
      <c r="B289" s="47" t="s">
        <v>2820</v>
      </c>
      <c r="C289" s="47" t="s">
        <v>2832</v>
      </c>
      <c r="D289" s="44"/>
      <c r="E289" s="44"/>
      <c r="F289" s="44"/>
      <c r="G289" s="48">
        <f>G287-13</f>
        <v>102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23.25" customHeight="1">
      <c r="A290" s="57" t="s">
        <v>2833</v>
      </c>
      <c r="B290" s="58"/>
      <c r="C290" s="58"/>
      <c r="D290" s="58"/>
      <c r="E290" s="58"/>
      <c r="F290" s="58"/>
      <c r="G290" s="48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23.25" customHeight="1">
      <c r="A291" s="54" t="s">
        <v>2834</v>
      </c>
      <c r="B291" s="47" t="s">
        <v>2835</v>
      </c>
      <c r="C291" s="47" t="s">
        <v>2836</v>
      </c>
      <c r="D291" s="44"/>
      <c r="E291" s="44"/>
      <c r="F291" s="44"/>
      <c r="G291" s="48">
        <f>G286-10.5</f>
        <v>36.75</v>
      </c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23.25" customHeight="1">
      <c r="A292" s="46"/>
      <c r="B292" s="47" t="s">
        <v>2837</v>
      </c>
      <c r="C292" s="47" t="s">
        <v>2838</v>
      </c>
      <c r="D292" s="44"/>
      <c r="E292" s="44"/>
      <c r="F292" s="44"/>
      <c r="G292" s="48">
        <f>G287-10.5</f>
        <v>104.5</v>
      </c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3.25" customHeight="1">
      <c r="A293" s="2" t="s">
        <v>2839</v>
      </c>
      <c r="B293" s="2"/>
      <c r="C293" s="2"/>
      <c r="D293" s="2"/>
      <c r="E293" s="2"/>
      <c r="F293" s="2"/>
      <c r="G293" s="48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23.25" customHeight="1">
      <c r="A294" s="2" t="s">
        <v>2840</v>
      </c>
      <c r="B294" s="2"/>
      <c r="C294" s="2"/>
      <c r="D294" s="2"/>
      <c r="E294" s="2"/>
      <c r="F294" s="2"/>
      <c r="G294" s="48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23.25" customHeight="1">
      <c r="A295" s="2" t="s">
        <v>2844</v>
      </c>
      <c r="B295" s="2"/>
      <c r="C295" s="2"/>
      <c r="D295" s="2"/>
      <c r="E295" s="2"/>
      <c r="F295" s="2"/>
      <c r="G295" s="48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23.25" customHeight="1">
      <c r="A296" s="2" t="s">
        <v>2845</v>
      </c>
      <c r="B296" s="2"/>
      <c r="C296" s="2"/>
      <c r="D296" s="2"/>
      <c r="E296" s="2"/>
      <c r="F296" s="2"/>
      <c r="G296" s="48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23.25" customHeight="1">
      <c r="A297" s="2" t="s">
        <v>2846</v>
      </c>
      <c r="B297" s="2"/>
      <c r="C297" s="2"/>
      <c r="D297" s="2"/>
      <c r="E297" s="2"/>
      <c r="F297" s="2"/>
      <c r="G297" s="48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23.25" customHeight="1">
      <c r="A298" s="51"/>
      <c r="B298" s="52"/>
      <c r="C298" s="52"/>
      <c r="D298" s="52"/>
      <c r="E298" s="52"/>
      <c r="F298" s="52"/>
      <c r="G298" s="52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23.25" customHeight="1">
      <c r="A299" s="43" t="s">
        <v>2894</v>
      </c>
      <c r="B299" s="44"/>
      <c r="C299" s="44"/>
      <c r="D299" s="44"/>
      <c r="E299" s="55">
        <f>C300</f>
        <v>80</v>
      </c>
      <c r="F299" s="44"/>
      <c r="G299" s="5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23.25" customHeight="1">
      <c r="A300" s="46"/>
      <c r="B300" s="47" t="s">
        <v>2805</v>
      </c>
      <c r="C300" s="48">
        <v>80</v>
      </c>
      <c r="D300" s="44">
        <f>C301</f>
        <v>100</v>
      </c>
      <c r="E300" s="44"/>
      <c r="F300" s="44"/>
      <c r="G300" s="5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23.25" customHeight="1">
      <c r="A301" s="46"/>
      <c r="B301" s="47" t="s">
        <v>2806</v>
      </c>
      <c r="C301" s="48">
        <v>100</v>
      </c>
      <c r="D301" s="44"/>
      <c r="E301" s="44"/>
      <c r="F301" s="44"/>
      <c r="G301" s="5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23.25" customHeight="1">
      <c r="A302" s="51"/>
      <c r="B302" s="52"/>
      <c r="C302" s="52"/>
      <c r="D302" s="52"/>
      <c r="E302" s="52"/>
      <c r="F302" s="52"/>
      <c r="G302" s="52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23.25" customHeight="1">
      <c r="A303" s="54" t="s">
        <v>2807</v>
      </c>
      <c r="B303" s="47" t="s">
        <v>2808</v>
      </c>
      <c r="C303" s="47" t="s">
        <v>2880</v>
      </c>
      <c r="D303" s="44"/>
      <c r="E303" s="44"/>
      <c r="F303" s="44"/>
      <c r="G303" s="48">
        <f>C300-7</f>
        <v>73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23.25" customHeight="1">
      <c r="A304" s="46"/>
      <c r="B304" s="47" t="s">
        <v>2810</v>
      </c>
      <c r="C304" s="47" t="s">
        <v>2881</v>
      </c>
      <c r="D304" s="44"/>
      <c r="E304" s="44"/>
      <c r="F304" s="44"/>
      <c r="G304" s="48">
        <f>C301-7</f>
        <v>93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23.25" customHeight="1">
      <c r="A305" s="54" t="s">
        <v>2817</v>
      </c>
      <c r="B305" s="47" t="s">
        <v>2818</v>
      </c>
      <c r="C305" s="47" t="s">
        <v>2831</v>
      </c>
      <c r="D305" s="44"/>
      <c r="E305" s="44"/>
      <c r="F305" s="44"/>
      <c r="G305" s="48">
        <f>G303-13</f>
        <v>60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23.25" customHeight="1">
      <c r="A306" s="46"/>
      <c r="B306" s="47" t="s">
        <v>2820</v>
      </c>
      <c r="C306" s="47" t="s">
        <v>2832</v>
      </c>
      <c r="D306" s="44"/>
      <c r="E306" s="44"/>
      <c r="F306" s="44"/>
      <c r="G306" s="48">
        <f>G304-13</f>
        <v>80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3.25" customHeight="1">
      <c r="A307" s="57" t="s">
        <v>2833</v>
      </c>
      <c r="B307" s="58"/>
      <c r="C307" s="58"/>
      <c r="D307" s="58"/>
      <c r="E307" s="58"/>
      <c r="F307" s="58"/>
      <c r="G307" s="48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3.25" customHeight="1">
      <c r="A308" s="54" t="s">
        <v>2834</v>
      </c>
      <c r="B308" s="47" t="s">
        <v>2835</v>
      </c>
      <c r="C308" s="47" t="s">
        <v>2850</v>
      </c>
      <c r="D308" s="44"/>
      <c r="E308" s="44"/>
      <c r="F308" s="44"/>
      <c r="G308" s="48">
        <f>G303-15.5</f>
        <v>57.5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23.25" customHeight="1">
      <c r="A309" s="46"/>
      <c r="B309" s="47" t="s">
        <v>2837</v>
      </c>
      <c r="C309" s="47" t="s">
        <v>2850</v>
      </c>
      <c r="D309" s="44"/>
      <c r="E309" s="44"/>
      <c r="F309" s="44"/>
      <c r="G309" s="48">
        <f>G304-15.5</f>
        <v>77.5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23.25" customHeight="1">
      <c r="A310" s="2" t="s">
        <v>2839</v>
      </c>
      <c r="B310" s="2"/>
      <c r="C310" s="2"/>
      <c r="D310" s="2"/>
      <c r="E310" s="2"/>
      <c r="F310" s="2"/>
      <c r="G310" s="48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23.25" customHeight="1">
      <c r="A311" s="2" t="s">
        <v>2840</v>
      </c>
      <c r="B311" s="2"/>
      <c r="C311" s="2"/>
      <c r="D311" s="2"/>
      <c r="E311" s="2"/>
      <c r="F311" s="2"/>
      <c r="G311" s="48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23.25" customHeight="1">
      <c r="A312" s="51"/>
      <c r="B312" s="52"/>
      <c r="C312" s="52"/>
      <c r="D312" s="52"/>
      <c r="E312" s="52"/>
      <c r="F312" s="52"/>
      <c r="G312" s="52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23.25" customHeight="1">
      <c r="A313" s="43" t="s">
        <v>2895</v>
      </c>
      <c r="B313" s="44"/>
      <c r="C313" s="44"/>
      <c r="D313" s="44"/>
      <c r="E313" s="55">
        <f>C314</f>
        <v>80</v>
      </c>
      <c r="F313" s="44"/>
      <c r="G313" s="5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23.25" customHeight="1">
      <c r="A314" s="46"/>
      <c r="B314" s="47" t="s">
        <v>2805</v>
      </c>
      <c r="C314" s="48">
        <v>80</v>
      </c>
      <c r="D314" s="44">
        <f>C315</f>
        <v>100</v>
      </c>
      <c r="E314" s="44"/>
      <c r="F314" s="44"/>
      <c r="G314" s="5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23.25" customHeight="1">
      <c r="A315" s="46"/>
      <c r="B315" s="47" t="s">
        <v>2806</v>
      </c>
      <c r="C315" s="48">
        <v>100</v>
      </c>
      <c r="D315" s="44"/>
      <c r="E315" s="44"/>
      <c r="F315" s="44"/>
      <c r="G315" s="5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23.25" customHeight="1">
      <c r="A316" s="51"/>
      <c r="B316" s="52"/>
      <c r="C316" s="52"/>
      <c r="D316" s="52"/>
      <c r="E316" s="52"/>
      <c r="F316" s="52"/>
      <c r="G316" s="52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23.25" customHeight="1">
      <c r="A317" s="54" t="s">
        <v>2807</v>
      </c>
      <c r="B317" s="47" t="s">
        <v>2808</v>
      </c>
      <c r="C317" s="47" t="s">
        <v>2883</v>
      </c>
      <c r="D317" s="44"/>
      <c r="E317" s="44"/>
      <c r="F317" s="44"/>
      <c r="G317" s="48">
        <f>C314-4.5</f>
        <v>75.5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23.25" customHeight="1">
      <c r="A318" s="46"/>
      <c r="B318" s="47" t="s">
        <v>2810</v>
      </c>
      <c r="C318" s="47" t="s">
        <v>2884</v>
      </c>
      <c r="D318" s="44"/>
      <c r="E318" s="44"/>
      <c r="F318" s="44"/>
      <c r="G318" s="48">
        <f>C315-4.5</f>
        <v>95.5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23.25" customHeight="1">
      <c r="A319" s="54" t="s">
        <v>2817</v>
      </c>
      <c r="B319" s="47" t="s">
        <v>2818</v>
      </c>
      <c r="C319" s="47" t="s">
        <v>2831</v>
      </c>
      <c r="D319" s="44"/>
      <c r="E319" s="44"/>
      <c r="F319" s="44"/>
      <c r="G319" s="48">
        <f>G317-13</f>
        <v>62.5</v>
      </c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23.25" customHeight="1">
      <c r="A320" s="46"/>
      <c r="B320" s="47" t="s">
        <v>2820</v>
      </c>
      <c r="C320" s="47" t="s">
        <v>2832</v>
      </c>
      <c r="D320" s="44"/>
      <c r="E320" s="44"/>
      <c r="F320" s="44"/>
      <c r="G320" s="48">
        <f>G318-13</f>
        <v>82.5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23.25" customHeight="1">
      <c r="A321" s="57" t="s">
        <v>2833</v>
      </c>
      <c r="B321" s="58"/>
      <c r="C321" s="58"/>
      <c r="D321" s="58"/>
      <c r="E321" s="58"/>
      <c r="F321" s="58"/>
      <c r="G321" s="48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23.25" customHeight="1">
      <c r="A322" s="54" t="s">
        <v>2834</v>
      </c>
      <c r="B322" s="47" t="s">
        <v>2835</v>
      </c>
      <c r="C322" s="47" t="s">
        <v>2850</v>
      </c>
      <c r="D322" s="44"/>
      <c r="E322" s="44"/>
      <c r="F322" s="44"/>
      <c r="G322" s="48">
        <f>G317-15.5</f>
        <v>60</v>
      </c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23.25" customHeight="1">
      <c r="A323" s="46"/>
      <c r="B323" s="47" t="s">
        <v>2837</v>
      </c>
      <c r="C323" s="47" t="s">
        <v>2850</v>
      </c>
      <c r="D323" s="44"/>
      <c r="E323" s="44"/>
      <c r="F323" s="44"/>
      <c r="G323" s="48">
        <f>G318-15.5</f>
        <v>80</v>
      </c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23.25" customHeight="1">
      <c r="A324" s="2" t="s">
        <v>2839</v>
      </c>
      <c r="B324" s="2"/>
      <c r="C324" s="2"/>
      <c r="D324" s="2"/>
      <c r="E324" s="2"/>
      <c r="F324" s="2"/>
      <c r="G324" s="48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23.25" customHeight="1">
      <c r="A325" s="2" t="s">
        <v>2840</v>
      </c>
      <c r="B325" s="2"/>
      <c r="C325" s="2"/>
      <c r="D325" s="2"/>
      <c r="E325" s="2"/>
      <c r="F325" s="2"/>
      <c r="G325" s="48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23.25" customHeight="1">
      <c r="A326" s="51"/>
      <c r="B326" s="52"/>
      <c r="C326" s="52"/>
      <c r="D326" s="52"/>
      <c r="E326" s="52"/>
      <c r="F326" s="52"/>
      <c r="G326" s="52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23.25" customHeight="1">
      <c r="A327" s="43" t="s">
        <v>2896</v>
      </c>
      <c r="B327" s="44"/>
      <c r="C327" s="44"/>
      <c r="D327" s="44"/>
      <c r="E327" s="55">
        <f>C328</f>
        <v>80</v>
      </c>
      <c r="F327" s="44"/>
      <c r="G327" s="5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23.25" customHeight="1">
      <c r="A328" s="46"/>
      <c r="B328" s="47" t="s">
        <v>2805</v>
      </c>
      <c r="C328" s="48">
        <v>80</v>
      </c>
      <c r="D328" s="44">
        <f>C329</f>
        <v>100</v>
      </c>
      <c r="E328" s="44"/>
      <c r="F328" s="44"/>
      <c r="G328" s="5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23.25" customHeight="1">
      <c r="A329" s="46"/>
      <c r="B329" s="47" t="s">
        <v>2806</v>
      </c>
      <c r="C329" s="48">
        <v>100</v>
      </c>
      <c r="D329" s="44"/>
      <c r="E329" s="44"/>
      <c r="F329" s="44"/>
      <c r="G329" s="5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23.25" customHeight="1">
      <c r="A330" s="51"/>
      <c r="B330" s="52"/>
      <c r="C330" s="52"/>
      <c r="D330" s="52"/>
      <c r="E330" s="52"/>
      <c r="F330" s="52"/>
      <c r="G330" s="52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23.25" customHeight="1">
      <c r="A331" s="54" t="s">
        <v>2807</v>
      </c>
      <c r="B331" s="47" t="s">
        <v>2808</v>
      </c>
      <c r="C331" s="47" t="s">
        <v>2886</v>
      </c>
      <c r="D331" s="44"/>
      <c r="E331" s="44"/>
      <c r="F331" s="44"/>
      <c r="G331" s="48">
        <f>C328-5</f>
        <v>75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23.25" customHeight="1">
      <c r="A332" s="46"/>
      <c r="B332" s="47" t="s">
        <v>2810</v>
      </c>
      <c r="C332" s="47" t="s">
        <v>2886</v>
      </c>
      <c r="D332" s="44"/>
      <c r="E332" s="44"/>
      <c r="F332" s="44"/>
      <c r="G332" s="48">
        <f>C329-5</f>
        <v>95</v>
      </c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23.25" customHeight="1">
      <c r="A333" s="54" t="s">
        <v>2817</v>
      </c>
      <c r="B333" s="47" t="s">
        <v>2818</v>
      </c>
      <c r="C333" s="47" t="s">
        <v>2831</v>
      </c>
      <c r="D333" s="44"/>
      <c r="E333" s="44"/>
      <c r="F333" s="44"/>
      <c r="G333" s="48">
        <f>G331-13</f>
        <v>62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23.25" customHeight="1">
      <c r="A334" s="46"/>
      <c r="B334" s="47" t="s">
        <v>2820</v>
      </c>
      <c r="C334" s="47" t="s">
        <v>2832</v>
      </c>
      <c r="D334" s="44"/>
      <c r="E334" s="44"/>
      <c r="F334" s="44"/>
      <c r="G334" s="48">
        <f>G332-13</f>
        <v>82</v>
      </c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23.25" customHeight="1">
      <c r="A335" s="57" t="s">
        <v>2833</v>
      </c>
      <c r="B335" s="58"/>
      <c r="C335" s="58"/>
      <c r="D335" s="58"/>
      <c r="E335" s="58"/>
      <c r="F335" s="58"/>
      <c r="G335" s="48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23.25" customHeight="1">
      <c r="A336" s="54" t="s">
        <v>2834</v>
      </c>
      <c r="B336" s="47" t="s">
        <v>2835</v>
      </c>
      <c r="C336" s="47" t="s">
        <v>2850</v>
      </c>
      <c r="D336" s="44"/>
      <c r="E336" s="44"/>
      <c r="F336" s="44"/>
      <c r="G336" s="48">
        <f>G331-15.5</f>
        <v>59.5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23.25" customHeight="1">
      <c r="A337" s="46"/>
      <c r="B337" s="47" t="s">
        <v>2837</v>
      </c>
      <c r="C337" s="47" t="s">
        <v>2850</v>
      </c>
      <c r="D337" s="44"/>
      <c r="E337" s="44"/>
      <c r="F337" s="44"/>
      <c r="G337" s="48">
        <f>G332-15.5</f>
        <v>79.5</v>
      </c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23.25" customHeight="1">
      <c r="A338" s="2" t="s">
        <v>2839</v>
      </c>
      <c r="B338" s="2"/>
      <c r="C338" s="2"/>
      <c r="D338" s="2"/>
      <c r="E338" s="2"/>
      <c r="F338" s="2"/>
      <c r="G338" s="48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23.25" customHeight="1">
      <c r="A339" s="2" t="s">
        <v>2840</v>
      </c>
      <c r="B339" s="2"/>
      <c r="C339" s="2"/>
      <c r="D339" s="2"/>
      <c r="E339" s="2"/>
      <c r="F339" s="2"/>
      <c r="G339" s="48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23.25" customHeight="1">
      <c r="A340" s="51"/>
      <c r="B340" s="52"/>
      <c r="C340" s="52"/>
      <c r="D340" s="52"/>
      <c r="E340" s="52"/>
      <c r="F340" s="52"/>
      <c r="G340" s="52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23.25" customHeight="1">
      <c r="A341" s="43" t="s">
        <v>2897</v>
      </c>
      <c r="B341" s="44"/>
      <c r="C341" s="44"/>
      <c r="D341" s="44"/>
      <c r="E341" s="55">
        <f>C342</f>
        <v>100</v>
      </c>
      <c r="F341" s="44"/>
      <c r="G341" s="5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23.25" customHeight="1">
      <c r="A342" s="46"/>
      <c r="B342" s="47" t="s">
        <v>2805</v>
      </c>
      <c r="C342" s="48">
        <v>100</v>
      </c>
      <c r="D342" s="44">
        <f>C343</f>
        <v>120</v>
      </c>
      <c r="E342" s="44"/>
      <c r="F342" s="44"/>
      <c r="G342" s="5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23.25" customHeight="1">
      <c r="A343" s="46"/>
      <c r="B343" s="47" t="s">
        <v>2806</v>
      </c>
      <c r="C343" s="48">
        <v>120</v>
      </c>
      <c r="D343" s="44"/>
      <c r="E343" s="44"/>
      <c r="F343" s="44"/>
      <c r="G343" s="5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23.25" customHeight="1">
      <c r="A344" s="51"/>
      <c r="B344" s="52"/>
      <c r="C344" s="52"/>
      <c r="D344" s="52"/>
      <c r="E344" s="52"/>
      <c r="F344" s="52"/>
      <c r="G344" s="52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23.25" customHeight="1">
      <c r="A345" s="54" t="s">
        <v>2842</v>
      </c>
      <c r="B345" s="47" t="s">
        <v>2808</v>
      </c>
      <c r="C345" s="47" t="s">
        <v>2890</v>
      </c>
      <c r="D345" s="44"/>
      <c r="E345" s="44"/>
      <c r="F345" s="44">
        <f>C342-5</f>
        <v>95</v>
      </c>
      <c r="G345" s="48">
        <f>F345/2</f>
        <v>47.5</v>
      </c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23.25" customHeight="1">
      <c r="A346" s="46"/>
      <c r="B346" s="47" t="s">
        <v>2810</v>
      </c>
      <c r="C346" s="47" t="s">
        <v>2884</v>
      </c>
      <c r="D346" s="44"/>
      <c r="E346" s="44"/>
      <c r="F346" s="44"/>
      <c r="G346" s="48">
        <f>C343-4.5</f>
        <v>115.5</v>
      </c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23.25" customHeight="1">
      <c r="A347" s="54" t="s">
        <v>2817</v>
      </c>
      <c r="B347" s="47" t="s">
        <v>2818</v>
      </c>
      <c r="C347" s="47" t="s">
        <v>2831</v>
      </c>
      <c r="D347" s="44"/>
      <c r="E347" s="44"/>
      <c r="F347" s="44"/>
      <c r="G347" s="48">
        <f>G345-13</f>
        <v>34.5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23.25" customHeight="1">
      <c r="A348" s="46"/>
      <c r="B348" s="47" t="s">
        <v>2820</v>
      </c>
      <c r="C348" s="47" t="s">
        <v>2832</v>
      </c>
      <c r="D348" s="44"/>
      <c r="E348" s="44"/>
      <c r="F348" s="44"/>
      <c r="G348" s="48">
        <f>G346-13</f>
        <v>102.5</v>
      </c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23.25" customHeight="1">
      <c r="A349" s="54" t="s">
        <v>2898</v>
      </c>
      <c r="B349" s="47" t="s">
        <v>2808</v>
      </c>
      <c r="C349" s="47" t="s">
        <v>2890</v>
      </c>
      <c r="D349" s="44"/>
      <c r="E349" s="44"/>
      <c r="F349" s="44">
        <f>C342-5</f>
        <v>95</v>
      </c>
      <c r="G349" s="48">
        <f>F349/2</f>
        <v>47.5</v>
      </c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23.25" customHeight="1">
      <c r="A350" s="46"/>
      <c r="B350" s="47" t="s">
        <v>2810</v>
      </c>
      <c r="C350" s="47" t="s">
        <v>2884</v>
      </c>
      <c r="D350" s="44"/>
      <c r="E350" s="44"/>
      <c r="F350" s="44"/>
      <c r="G350" s="48">
        <f>C343-4.5</f>
        <v>115.5</v>
      </c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23.25" customHeight="1">
      <c r="A351" s="54" t="s">
        <v>2817</v>
      </c>
      <c r="B351" s="47" t="s">
        <v>2818</v>
      </c>
      <c r="C351" s="47" t="s">
        <v>2831</v>
      </c>
      <c r="D351" s="44"/>
      <c r="E351" s="44"/>
      <c r="F351" s="44"/>
      <c r="G351" s="48">
        <f>G345-13</f>
        <v>34.5</v>
      </c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23.25" customHeight="1">
      <c r="A352" s="46"/>
      <c r="B352" s="47" t="s">
        <v>2820</v>
      </c>
      <c r="C352" s="47" t="s">
        <v>2832</v>
      </c>
      <c r="D352" s="44"/>
      <c r="E352" s="44"/>
      <c r="F352" s="44"/>
      <c r="G352" s="48">
        <f>G346-13</f>
        <v>102.5</v>
      </c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23.25" customHeight="1">
      <c r="A353" s="57" t="s">
        <v>2833</v>
      </c>
      <c r="B353" s="58"/>
      <c r="C353" s="58"/>
      <c r="D353" s="58"/>
      <c r="E353" s="58"/>
      <c r="F353" s="58"/>
      <c r="G353" s="48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23.25" customHeight="1">
      <c r="A354" s="54" t="s">
        <v>2834</v>
      </c>
      <c r="B354" s="47" t="s">
        <v>2835</v>
      </c>
      <c r="C354" s="47" t="s">
        <v>2850</v>
      </c>
      <c r="D354" s="44"/>
      <c r="E354" s="44"/>
      <c r="F354" s="44"/>
      <c r="G354" s="48">
        <f>G349-15.5</f>
        <v>32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23.25" customHeight="1">
      <c r="A355" s="46"/>
      <c r="B355" s="47" t="s">
        <v>2837</v>
      </c>
      <c r="C355" s="47" t="s">
        <v>2850</v>
      </c>
      <c r="D355" s="44"/>
      <c r="E355" s="44"/>
      <c r="F355" s="44"/>
      <c r="G355" s="48">
        <f>G350-15.5</f>
        <v>100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23.25" customHeight="1">
      <c r="A356" s="2" t="s">
        <v>2839</v>
      </c>
      <c r="B356" s="2"/>
      <c r="C356" s="2"/>
      <c r="D356" s="2"/>
      <c r="E356" s="2"/>
      <c r="F356" s="2"/>
      <c r="G356" s="48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23.25" customHeight="1">
      <c r="A357" s="2" t="s">
        <v>2840</v>
      </c>
      <c r="B357" s="2"/>
      <c r="C357" s="2"/>
      <c r="D357" s="2"/>
      <c r="E357" s="2"/>
      <c r="F357" s="2"/>
      <c r="G357" s="48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23.25" customHeight="1">
      <c r="A358" s="2" t="s">
        <v>2844</v>
      </c>
      <c r="B358" s="2"/>
      <c r="C358" s="2"/>
      <c r="D358" s="2"/>
      <c r="E358" s="2"/>
      <c r="F358" s="2"/>
      <c r="G358" s="48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23.25" customHeight="1">
      <c r="A359" s="2" t="s">
        <v>2845</v>
      </c>
      <c r="B359" s="2"/>
      <c r="C359" s="2"/>
      <c r="D359" s="2"/>
      <c r="E359" s="2"/>
      <c r="F359" s="2"/>
      <c r="G359" s="48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23.25" customHeight="1">
      <c r="A360" s="2" t="s">
        <v>2846</v>
      </c>
      <c r="B360" s="2"/>
      <c r="C360" s="2"/>
      <c r="D360" s="2"/>
      <c r="E360" s="2"/>
      <c r="F360" s="2"/>
      <c r="G360" s="48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23.25" customHeight="1">
      <c r="A361" s="51"/>
      <c r="B361" s="52"/>
      <c r="C361" s="52"/>
      <c r="D361" s="52"/>
      <c r="E361" s="52"/>
      <c r="F361" s="52"/>
      <c r="G361" s="52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23.25" customHeight="1">
      <c r="A362" s="43" t="s">
        <v>2899</v>
      </c>
      <c r="B362" s="44"/>
      <c r="C362" s="44"/>
      <c r="D362" s="44"/>
      <c r="E362" s="55">
        <f>C363</f>
        <v>100</v>
      </c>
      <c r="F362" s="44"/>
      <c r="G362" s="5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23.25" customHeight="1">
      <c r="A363" s="46"/>
      <c r="B363" s="47" t="s">
        <v>2805</v>
      </c>
      <c r="C363" s="48">
        <v>100</v>
      </c>
      <c r="D363" s="44">
        <f>C364</f>
        <v>120</v>
      </c>
      <c r="E363" s="44"/>
      <c r="F363" s="44"/>
      <c r="G363" s="5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23.25" customHeight="1">
      <c r="A364" s="46"/>
      <c r="B364" s="47" t="s">
        <v>2806</v>
      </c>
      <c r="C364" s="48">
        <v>120</v>
      </c>
      <c r="D364" s="44"/>
      <c r="E364" s="44"/>
      <c r="F364" s="44"/>
      <c r="G364" s="5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23.25" customHeight="1">
      <c r="A365" s="51"/>
      <c r="B365" s="52"/>
      <c r="C365" s="52"/>
      <c r="D365" s="52"/>
      <c r="E365" s="52"/>
      <c r="F365" s="52"/>
      <c r="G365" s="52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23.25" customHeight="1">
      <c r="A366" s="54" t="s">
        <v>2842</v>
      </c>
      <c r="B366" s="47" t="s">
        <v>2808</v>
      </c>
      <c r="C366" s="47" t="s">
        <v>2890</v>
      </c>
      <c r="D366" s="44"/>
      <c r="E366" s="44"/>
      <c r="F366" s="44">
        <f>C363-5</f>
        <v>95</v>
      </c>
      <c r="G366" s="48">
        <f>F366/2</f>
        <v>47.5</v>
      </c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23.25" customHeight="1">
      <c r="A367" s="46"/>
      <c r="B367" s="47" t="s">
        <v>2810</v>
      </c>
      <c r="C367" s="47" t="s">
        <v>2884</v>
      </c>
      <c r="D367" s="44"/>
      <c r="E367" s="44"/>
      <c r="F367" s="44"/>
      <c r="G367" s="48">
        <f>C364-4.5</f>
        <v>115.5</v>
      </c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23.25" customHeight="1">
      <c r="A368" s="54" t="s">
        <v>2817</v>
      </c>
      <c r="B368" s="47" t="s">
        <v>2818</v>
      </c>
      <c r="C368" s="47" t="s">
        <v>2831</v>
      </c>
      <c r="D368" s="44"/>
      <c r="E368" s="44"/>
      <c r="F368" s="44"/>
      <c r="G368" s="48">
        <f>G366-13</f>
        <v>34.5</v>
      </c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23.25" customHeight="1">
      <c r="A369" s="46"/>
      <c r="B369" s="47" t="s">
        <v>2820</v>
      </c>
      <c r="C369" s="47" t="s">
        <v>2832</v>
      </c>
      <c r="D369" s="44"/>
      <c r="E369" s="44"/>
      <c r="F369" s="44"/>
      <c r="G369" s="48">
        <f>G367-13</f>
        <v>102.5</v>
      </c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23.25" customHeight="1">
      <c r="A370" s="54" t="s">
        <v>2898</v>
      </c>
      <c r="B370" s="47" t="s">
        <v>2808</v>
      </c>
      <c r="C370" s="47" t="s">
        <v>2890</v>
      </c>
      <c r="D370" s="44"/>
      <c r="E370" s="44"/>
      <c r="F370" s="44">
        <f>C363-5</f>
        <v>95</v>
      </c>
      <c r="G370" s="48">
        <f>F370/2</f>
        <v>47.5</v>
      </c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23.25" customHeight="1">
      <c r="A371" s="46"/>
      <c r="B371" s="47" t="s">
        <v>2810</v>
      </c>
      <c r="C371" s="47" t="s">
        <v>2884</v>
      </c>
      <c r="D371" s="44"/>
      <c r="E371" s="44"/>
      <c r="F371" s="44"/>
      <c r="G371" s="48">
        <f>C364-4.5</f>
        <v>115.5</v>
      </c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23.25" customHeight="1">
      <c r="A372" s="54" t="s">
        <v>2817</v>
      </c>
      <c r="B372" s="47" t="s">
        <v>2818</v>
      </c>
      <c r="C372" s="47" t="s">
        <v>2831</v>
      </c>
      <c r="D372" s="44"/>
      <c r="E372" s="44"/>
      <c r="F372" s="44"/>
      <c r="G372" s="48">
        <f>G366-13</f>
        <v>34.5</v>
      </c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23.25" customHeight="1">
      <c r="A373" s="46"/>
      <c r="B373" s="47" t="s">
        <v>2820</v>
      </c>
      <c r="C373" s="47" t="s">
        <v>2832</v>
      </c>
      <c r="D373" s="44"/>
      <c r="E373" s="44"/>
      <c r="F373" s="44"/>
      <c r="G373" s="48">
        <f>G367-13</f>
        <v>102.5</v>
      </c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23.25" customHeight="1">
      <c r="A374" s="57" t="s">
        <v>2833</v>
      </c>
      <c r="B374" s="58"/>
      <c r="C374" s="58"/>
      <c r="D374" s="58"/>
      <c r="E374" s="58"/>
      <c r="F374" s="58"/>
      <c r="G374" s="48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23.25" customHeight="1">
      <c r="A375" s="54" t="s">
        <v>2834</v>
      </c>
      <c r="B375" s="47" t="s">
        <v>2835</v>
      </c>
      <c r="C375" s="47" t="s">
        <v>2850</v>
      </c>
      <c r="D375" s="44"/>
      <c r="E375" s="44"/>
      <c r="F375" s="44"/>
      <c r="G375" s="48">
        <f>G370-15.5</f>
        <v>32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23.25" customHeight="1">
      <c r="A376" s="46"/>
      <c r="B376" s="47" t="s">
        <v>2837</v>
      </c>
      <c r="C376" s="47" t="s">
        <v>2850</v>
      </c>
      <c r="D376" s="44"/>
      <c r="E376" s="44"/>
      <c r="F376" s="44"/>
      <c r="G376" s="48">
        <f>G371-15.5</f>
        <v>100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23.25" customHeight="1">
      <c r="A377" s="2" t="s">
        <v>2839</v>
      </c>
      <c r="B377" s="2"/>
      <c r="C377" s="2"/>
      <c r="D377" s="2"/>
      <c r="E377" s="2"/>
      <c r="F377" s="2"/>
      <c r="G377" s="48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23.25" customHeight="1">
      <c r="A378" s="2" t="s">
        <v>2840</v>
      </c>
      <c r="B378" s="2"/>
      <c r="C378" s="2"/>
      <c r="D378" s="2"/>
      <c r="E378" s="2"/>
      <c r="F378" s="2"/>
      <c r="G378" s="48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3.25" customHeight="1">
      <c r="A379" s="2" t="s">
        <v>2844</v>
      </c>
      <c r="B379" s="2"/>
      <c r="C379" s="2"/>
      <c r="D379" s="2"/>
      <c r="E379" s="2"/>
      <c r="F379" s="2"/>
      <c r="G379" s="48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23.25" customHeight="1">
      <c r="A380" s="2" t="s">
        <v>2845</v>
      </c>
      <c r="B380" s="2"/>
      <c r="C380" s="2"/>
      <c r="D380" s="2"/>
      <c r="E380" s="2"/>
      <c r="F380" s="2"/>
      <c r="G380" s="48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23.25" customHeight="1">
      <c r="A381" s="2" t="s">
        <v>2846</v>
      </c>
      <c r="B381" s="2"/>
      <c r="C381" s="2"/>
      <c r="D381" s="2"/>
      <c r="E381" s="2"/>
      <c r="F381" s="2"/>
      <c r="G381" s="48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23.25" customHeight="1">
      <c r="A382" s="51"/>
      <c r="B382" s="52"/>
      <c r="C382" s="52"/>
      <c r="D382" s="52"/>
      <c r="E382" s="52"/>
      <c r="F382" s="52"/>
      <c r="G382" s="52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23.25" customHeight="1">
      <c r="A383" s="43" t="s">
        <v>2900</v>
      </c>
      <c r="B383" s="44"/>
      <c r="C383" s="44"/>
      <c r="D383" s="44"/>
      <c r="E383" s="55">
        <f>C384</f>
        <v>100</v>
      </c>
      <c r="F383" s="44"/>
      <c r="G383" s="5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23.25" customHeight="1">
      <c r="A384" s="46"/>
      <c r="B384" s="47" t="s">
        <v>2805</v>
      </c>
      <c r="C384" s="48">
        <v>100</v>
      </c>
      <c r="D384" s="44">
        <f>C385</f>
        <v>120</v>
      </c>
      <c r="E384" s="44"/>
      <c r="F384" s="44"/>
      <c r="G384" s="5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23.25" customHeight="1">
      <c r="A385" s="46"/>
      <c r="B385" s="47" t="s">
        <v>2806</v>
      </c>
      <c r="C385" s="48">
        <v>120</v>
      </c>
      <c r="D385" s="44"/>
      <c r="E385" s="44"/>
      <c r="F385" s="44"/>
      <c r="G385" s="5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23.25" customHeight="1">
      <c r="A386" s="51"/>
      <c r="B386" s="52"/>
      <c r="C386" s="52"/>
      <c r="D386" s="52"/>
      <c r="E386" s="52"/>
      <c r="F386" s="52"/>
      <c r="G386" s="52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23.25" customHeight="1">
      <c r="A387" s="54" t="s">
        <v>2842</v>
      </c>
      <c r="B387" s="47" t="s">
        <v>2808</v>
      </c>
      <c r="C387" s="47" t="s">
        <v>2892</v>
      </c>
      <c r="D387" s="44"/>
      <c r="E387" s="44"/>
      <c r="F387" s="44">
        <f>C384-5.5</f>
        <v>94.5</v>
      </c>
      <c r="G387" s="48">
        <f>F387/2</f>
        <v>47.25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23.25" customHeight="1">
      <c r="A388" s="46"/>
      <c r="B388" s="47" t="s">
        <v>2810</v>
      </c>
      <c r="C388" s="47" t="s">
        <v>2893</v>
      </c>
      <c r="D388" s="44"/>
      <c r="E388" s="44"/>
      <c r="F388" s="44"/>
      <c r="G388" s="48">
        <f>C385-5</f>
        <v>115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23.25" customHeight="1">
      <c r="A389" s="54" t="s">
        <v>2817</v>
      </c>
      <c r="B389" s="47" t="s">
        <v>2818</v>
      </c>
      <c r="C389" s="47" t="s">
        <v>2831</v>
      </c>
      <c r="D389" s="44"/>
      <c r="E389" s="44"/>
      <c r="F389" s="44"/>
      <c r="G389" s="48">
        <f>G387-13</f>
        <v>34.25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23.25" customHeight="1">
      <c r="A390" s="46"/>
      <c r="B390" s="47" t="s">
        <v>2820</v>
      </c>
      <c r="C390" s="47" t="s">
        <v>2832</v>
      </c>
      <c r="D390" s="44"/>
      <c r="E390" s="44"/>
      <c r="F390" s="44"/>
      <c r="G390" s="48">
        <f>G388-13</f>
        <v>102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23.25" customHeight="1">
      <c r="A391" s="57" t="s">
        <v>2833</v>
      </c>
      <c r="B391" s="58"/>
      <c r="C391" s="58"/>
      <c r="D391" s="58"/>
      <c r="E391" s="58"/>
      <c r="F391" s="58"/>
      <c r="G391" s="48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23.25" customHeight="1">
      <c r="A392" s="54" t="s">
        <v>2834</v>
      </c>
      <c r="B392" s="47" t="s">
        <v>2835</v>
      </c>
      <c r="C392" s="47" t="s">
        <v>2850</v>
      </c>
      <c r="D392" s="44"/>
      <c r="E392" s="44"/>
      <c r="F392" s="44"/>
      <c r="G392" s="48">
        <f>G387-15.5</f>
        <v>31.75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23.25" customHeight="1">
      <c r="A393" s="46"/>
      <c r="B393" s="47" t="s">
        <v>2837</v>
      </c>
      <c r="C393" s="47" t="s">
        <v>2850</v>
      </c>
      <c r="D393" s="44"/>
      <c r="E393" s="44"/>
      <c r="F393" s="44"/>
      <c r="G393" s="48">
        <f>G388-15.5</f>
        <v>99.5</v>
      </c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23.25" customHeight="1">
      <c r="A394" s="2" t="s">
        <v>2839</v>
      </c>
      <c r="B394" s="2"/>
      <c r="C394" s="2"/>
      <c r="D394" s="2"/>
      <c r="E394" s="2"/>
      <c r="F394" s="2"/>
      <c r="G394" s="48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23.25" customHeight="1">
      <c r="A395" s="2" t="s">
        <v>2840</v>
      </c>
      <c r="B395" s="2"/>
      <c r="C395" s="2"/>
      <c r="D395" s="2"/>
      <c r="E395" s="2"/>
      <c r="F395" s="2"/>
      <c r="G395" s="48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23.25" customHeight="1">
      <c r="A396" s="2" t="s">
        <v>2844</v>
      </c>
      <c r="B396" s="2"/>
      <c r="C396" s="2"/>
      <c r="D396" s="2"/>
      <c r="E396" s="2"/>
      <c r="F396" s="2"/>
      <c r="G396" s="48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23.25" customHeight="1">
      <c r="A397" s="2" t="s">
        <v>2845</v>
      </c>
      <c r="B397" s="2"/>
      <c r="C397" s="2"/>
      <c r="D397" s="2"/>
      <c r="E397" s="2"/>
      <c r="F397" s="2"/>
      <c r="G397" s="48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23.25" customHeight="1">
      <c r="A398" s="2" t="s">
        <v>2846</v>
      </c>
      <c r="B398" s="2"/>
      <c r="C398" s="2"/>
      <c r="D398" s="2"/>
      <c r="E398" s="2"/>
      <c r="F398" s="2"/>
      <c r="G398" s="48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23.25" customHeight="1">
      <c r="A399" s="43" t="s">
        <v>2901</v>
      </c>
      <c r="B399" s="44"/>
      <c r="C399" s="44"/>
      <c r="D399" s="44"/>
      <c r="E399" s="55">
        <f>C400</f>
        <v>0</v>
      </c>
      <c r="F399" s="44"/>
      <c r="G399" s="5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23.25" customHeight="1">
      <c r="A400" s="46"/>
      <c r="B400" s="47" t="s">
        <v>2805</v>
      </c>
      <c r="C400" s="48">
        <v>0</v>
      </c>
      <c r="D400" s="44">
        <v>140</v>
      </c>
      <c r="E400" s="44"/>
      <c r="F400" s="44"/>
      <c r="G400" s="5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23.25" customHeight="1">
      <c r="A401" s="46"/>
      <c r="B401" s="47" t="s">
        <v>2806</v>
      </c>
      <c r="C401" s="48">
        <v>0</v>
      </c>
      <c r="D401" s="44"/>
      <c r="E401" s="44"/>
      <c r="F401" s="44"/>
      <c r="G401" s="5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23.25" customHeight="1">
      <c r="A402" s="51"/>
      <c r="B402" s="52"/>
      <c r="C402" s="52"/>
      <c r="D402" s="52"/>
      <c r="E402" s="52"/>
      <c r="F402" s="52"/>
      <c r="G402" s="52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23.25" customHeight="1">
      <c r="A403" s="54" t="s">
        <v>2842</v>
      </c>
      <c r="B403" s="47" t="s">
        <v>2808</v>
      </c>
      <c r="C403" s="47" t="s">
        <v>2902</v>
      </c>
      <c r="D403" s="44"/>
      <c r="E403" s="44"/>
      <c r="F403" s="44"/>
      <c r="G403" s="48">
        <f>C400-4.5</f>
        <v>-4.5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23.25" customHeight="1">
      <c r="A404" s="46"/>
      <c r="B404" s="47" t="s">
        <v>2810</v>
      </c>
      <c r="C404" s="47" t="s">
        <v>2903</v>
      </c>
      <c r="D404" s="44"/>
      <c r="E404" s="44"/>
      <c r="F404" s="44"/>
      <c r="G404" s="48">
        <f>C401-33</f>
        <v>-33</v>
      </c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23.25" customHeight="1">
      <c r="A405" s="54" t="s">
        <v>2817</v>
      </c>
      <c r="B405" s="47" t="s">
        <v>2818</v>
      </c>
      <c r="C405" s="47" t="s">
        <v>2831</v>
      </c>
      <c r="D405" s="44"/>
      <c r="E405" s="44"/>
      <c r="F405" s="44"/>
      <c r="G405" s="48">
        <f>G403-13</f>
        <v>-17.5</v>
      </c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23.25" customHeight="1">
      <c r="A406" s="46"/>
      <c r="B406" s="47" t="s">
        <v>2820</v>
      </c>
      <c r="C406" s="47" t="s">
        <v>2832</v>
      </c>
      <c r="D406" s="44"/>
      <c r="E406" s="44"/>
      <c r="F406" s="44"/>
      <c r="G406" s="48">
        <f>G404-13</f>
        <v>-46</v>
      </c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23.25" customHeight="1">
      <c r="A407" s="54" t="s">
        <v>2854</v>
      </c>
      <c r="B407" s="47" t="s">
        <v>2818</v>
      </c>
      <c r="C407" s="47" t="s">
        <v>2904</v>
      </c>
      <c r="D407" s="44"/>
      <c r="E407" s="44"/>
      <c r="F407" s="44"/>
      <c r="G407" s="48">
        <f>C400-35.5</f>
        <v>-35.5</v>
      </c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23.25" customHeight="1">
      <c r="A408" s="46"/>
      <c r="B408" s="47" t="s">
        <v>2820</v>
      </c>
      <c r="C408" s="44">
        <v>23</v>
      </c>
      <c r="D408" s="44"/>
      <c r="E408" s="44"/>
      <c r="F408" s="44"/>
      <c r="G408" s="48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23.25" customHeight="1">
      <c r="A409" s="2" t="s">
        <v>2839</v>
      </c>
      <c r="B409" s="2"/>
      <c r="C409" s="2"/>
      <c r="D409" s="2"/>
      <c r="E409" s="2"/>
      <c r="F409" s="2"/>
      <c r="G409" s="48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23.25" customHeight="1">
      <c r="A410" s="43" t="s">
        <v>2905</v>
      </c>
      <c r="B410" s="44"/>
      <c r="C410" s="44"/>
      <c r="D410" s="44"/>
      <c r="E410" s="55">
        <f>C411</f>
        <v>0</v>
      </c>
      <c r="F410" s="44"/>
      <c r="G410" s="5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23.25" customHeight="1">
      <c r="A411" s="46"/>
      <c r="B411" s="47" t="s">
        <v>2805</v>
      </c>
      <c r="C411" s="48">
        <v>0</v>
      </c>
      <c r="D411" s="44">
        <v>140</v>
      </c>
      <c r="E411" s="44"/>
      <c r="F411" s="44"/>
      <c r="G411" s="5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23.25" customHeight="1">
      <c r="A412" s="46"/>
      <c r="B412" s="47" t="s">
        <v>2806</v>
      </c>
      <c r="C412" s="48">
        <v>0</v>
      </c>
      <c r="D412" s="44"/>
      <c r="E412" s="44"/>
      <c r="F412" s="44"/>
      <c r="G412" s="5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23.25" customHeight="1">
      <c r="A413" s="51"/>
      <c r="B413" s="52"/>
      <c r="C413" s="52"/>
      <c r="D413" s="52"/>
      <c r="E413" s="52"/>
      <c r="F413" s="52"/>
      <c r="G413" s="52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23.25" customHeight="1">
      <c r="A414" s="54" t="s">
        <v>2842</v>
      </c>
      <c r="B414" s="47" t="s">
        <v>2808</v>
      </c>
      <c r="C414" s="47" t="s">
        <v>2902</v>
      </c>
      <c r="D414" s="44"/>
      <c r="E414" s="44"/>
      <c r="F414" s="44"/>
      <c r="G414" s="48">
        <f>C411-4.5</f>
        <v>-4.5</v>
      </c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23.25" customHeight="1">
      <c r="A415" s="46"/>
      <c r="B415" s="47" t="s">
        <v>2810</v>
      </c>
      <c r="C415" s="47" t="s">
        <v>2906</v>
      </c>
      <c r="D415" s="44"/>
      <c r="E415" s="44"/>
      <c r="F415" s="44"/>
      <c r="G415" s="48">
        <f>C412-38</f>
        <v>-38</v>
      </c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23.25" customHeight="1">
      <c r="A416" s="54" t="s">
        <v>2817</v>
      </c>
      <c r="B416" s="47" t="s">
        <v>2818</v>
      </c>
      <c r="C416" s="47" t="s">
        <v>2831</v>
      </c>
      <c r="D416" s="44"/>
      <c r="E416" s="44"/>
      <c r="F416" s="44"/>
      <c r="G416" s="48">
        <f>G414-13</f>
        <v>-17.5</v>
      </c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23.25" customHeight="1">
      <c r="A417" s="46"/>
      <c r="B417" s="47" t="s">
        <v>2820</v>
      </c>
      <c r="C417" s="47" t="s">
        <v>2832</v>
      </c>
      <c r="D417" s="44"/>
      <c r="E417" s="44"/>
      <c r="F417" s="44"/>
      <c r="G417" s="48">
        <f>G415-13</f>
        <v>-51</v>
      </c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23.25" customHeight="1">
      <c r="A418" s="54" t="s">
        <v>2854</v>
      </c>
      <c r="B418" s="47" t="s">
        <v>2818</v>
      </c>
      <c r="C418" s="47" t="s">
        <v>2907</v>
      </c>
      <c r="D418" s="44"/>
      <c r="E418" s="44"/>
      <c r="F418" s="44"/>
      <c r="G418" s="48">
        <f>C411-40.5</f>
        <v>-40.5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23.25" customHeight="1">
      <c r="A419" s="46"/>
      <c r="B419" s="47" t="s">
        <v>2820</v>
      </c>
      <c r="C419" s="44">
        <v>28</v>
      </c>
      <c r="D419" s="44"/>
      <c r="E419" s="44"/>
      <c r="F419" s="44"/>
      <c r="G419" s="48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23.25" customHeight="1">
      <c r="A420" s="2" t="s">
        <v>2839</v>
      </c>
      <c r="B420" s="2"/>
      <c r="C420" s="2"/>
      <c r="D420" s="2"/>
      <c r="E420" s="2"/>
      <c r="F420" s="2"/>
      <c r="G420" s="48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23.25" customHeight="1">
      <c r="A421" s="43" t="s">
        <v>2908</v>
      </c>
      <c r="B421" s="44"/>
      <c r="C421" s="44"/>
      <c r="D421" s="44"/>
      <c r="E421" s="55">
        <f>C422</f>
        <v>0</v>
      </c>
      <c r="F421" s="44"/>
      <c r="G421" s="5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23.25" customHeight="1">
      <c r="A422" s="46"/>
      <c r="B422" s="47" t="s">
        <v>2805</v>
      </c>
      <c r="C422" s="48">
        <v>0</v>
      </c>
      <c r="D422" s="44">
        <v>140</v>
      </c>
      <c r="E422" s="44"/>
      <c r="F422" s="44"/>
      <c r="G422" s="56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23.25" customHeight="1">
      <c r="A423" s="46"/>
      <c r="B423" s="47" t="s">
        <v>2806</v>
      </c>
      <c r="C423" s="48">
        <v>0</v>
      </c>
      <c r="D423" s="44"/>
      <c r="E423" s="44"/>
      <c r="F423" s="44"/>
      <c r="G423" s="5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23.25" customHeight="1">
      <c r="A424" s="51"/>
      <c r="B424" s="52"/>
      <c r="C424" s="52"/>
      <c r="D424" s="52"/>
      <c r="E424" s="52"/>
      <c r="F424" s="52"/>
      <c r="G424" s="52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23.25" customHeight="1">
      <c r="A425" s="54" t="s">
        <v>2842</v>
      </c>
      <c r="B425" s="47" t="s">
        <v>2808</v>
      </c>
      <c r="C425" s="47" t="s">
        <v>2902</v>
      </c>
      <c r="D425" s="44"/>
      <c r="E425" s="44"/>
      <c r="F425" s="44"/>
      <c r="G425" s="48">
        <f>C422-4.5</f>
        <v>-4.5</v>
      </c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23.25" customHeight="1">
      <c r="A426" s="46"/>
      <c r="B426" s="47" t="s">
        <v>2810</v>
      </c>
      <c r="C426" s="47" t="s">
        <v>2909</v>
      </c>
      <c r="D426" s="44"/>
      <c r="E426" s="44"/>
      <c r="F426" s="44"/>
      <c r="G426" s="48">
        <f>C423-43</f>
        <v>-43</v>
      </c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23.25" customHeight="1">
      <c r="A427" s="54" t="s">
        <v>2817</v>
      </c>
      <c r="B427" s="47" t="s">
        <v>2818</v>
      </c>
      <c r="C427" s="47" t="s">
        <v>2831</v>
      </c>
      <c r="D427" s="44"/>
      <c r="E427" s="44"/>
      <c r="F427" s="44"/>
      <c r="G427" s="48">
        <f>G425-13</f>
        <v>-17.5</v>
      </c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23.25" customHeight="1">
      <c r="A428" s="46"/>
      <c r="B428" s="47" t="s">
        <v>2820</v>
      </c>
      <c r="C428" s="47" t="s">
        <v>2832</v>
      </c>
      <c r="D428" s="44"/>
      <c r="E428" s="44"/>
      <c r="F428" s="44"/>
      <c r="G428" s="48">
        <f>G426-13</f>
        <v>-56</v>
      </c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23.25" customHeight="1">
      <c r="A429" s="54" t="s">
        <v>2854</v>
      </c>
      <c r="B429" s="47" t="s">
        <v>2818</v>
      </c>
      <c r="C429" s="47" t="s">
        <v>2910</v>
      </c>
      <c r="D429" s="44"/>
      <c r="E429" s="44"/>
      <c r="F429" s="44"/>
      <c r="G429" s="48">
        <f>C422-45.5</f>
        <v>-45.5</v>
      </c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23.25" customHeight="1">
      <c r="A430" s="46"/>
      <c r="B430" s="47" t="s">
        <v>2820</v>
      </c>
      <c r="C430" s="44">
        <v>33</v>
      </c>
      <c r="D430" s="44"/>
      <c r="E430" s="44"/>
      <c r="F430" s="44"/>
      <c r="G430" s="48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23.25" customHeight="1">
      <c r="A431" s="2" t="s">
        <v>2839</v>
      </c>
      <c r="B431" s="2"/>
      <c r="C431" s="2"/>
      <c r="D431" s="2"/>
      <c r="E431" s="2"/>
      <c r="F431" s="2"/>
      <c r="G431" s="48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23.25" customHeight="1">
      <c r="A432" s="43" t="s">
        <v>2911</v>
      </c>
      <c r="B432" s="44"/>
      <c r="C432" s="44"/>
      <c r="D432" s="44"/>
      <c r="E432" s="55">
        <f>C433</f>
        <v>0</v>
      </c>
      <c r="F432" s="44"/>
      <c r="G432" s="5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23.25" customHeight="1">
      <c r="A433" s="46"/>
      <c r="B433" s="47" t="s">
        <v>2805</v>
      </c>
      <c r="C433" s="48">
        <v>0</v>
      </c>
      <c r="D433" s="44">
        <v>140</v>
      </c>
      <c r="E433" s="44"/>
      <c r="F433" s="44"/>
      <c r="G433" s="5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23.25" customHeight="1">
      <c r="A434" s="46"/>
      <c r="B434" s="47" t="s">
        <v>2806</v>
      </c>
      <c r="C434" s="48">
        <v>0</v>
      </c>
      <c r="D434" s="44"/>
      <c r="E434" s="44"/>
      <c r="F434" s="44"/>
      <c r="G434" s="5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23.25" customHeight="1">
      <c r="A435" s="51"/>
      <c r="B435" s="52"/>
      <c r="C435" s="52"/>
      <c r="D435" s="52"/>
      <c r="E435" s="52"/>
      <c r="F435" s="52"/>
      <c r="G435" s="52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23.25" customHeight="1">
      <c r="A436" s="54" t="s">
        <v>2842</v>
      </c>
      <c r="B436" s="47" t="s">
        <v>2808</v>
      </c>
      <c r="C436" s="47" t="s">
        <v>2886</v>
      </c>
      <c r="D436" s="44"/>
      <c r="E436" s="44"/>
      <c r="F436" s="44"/>
      <c r="G436" s="48">
        <f>C433-5</f>
        <v>-5</v>
      </c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23.25" customHeight="1">
      <c r="A437" s="46"/>
      <c r="B437" s="47" t="s">
        <v>2810</v>
      </c>
      <c r="C437" s="47" t="s">
        <v>2903</v>
      </c>
      <c r="D437" s="44"/>
      <c r="E437" s="44"/>
      <c r="F437" s="44"/>
      <c r="G437" s="48">
        <f>C434-33</f>
        <v>-33</v>
      </c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23.25" customHeight="1">
      <c r="A438" s="54" t="s">
        <v>2817</v>
      </c>
      <c r="B438" s="47" t="s">
        <v>2818</v>
      </c>
      <c r="C438" s="47" t="s">
        <v>2831</v>
      </c>
      <c r="D438" s="44"/>
      <c r="E438" s="44"/>
      <c r="F438" s="44"/>
      <c r="G438" s="48">
        <f>G436-13</f>
        <v>-18</v>
      </c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23.25" customHeight="1">
      <c r="A439" s="46"/>
      <c r="B439" s="47" t="s">
        <v>2820</v>
      </c>
      <c r="C439" s="47" t="s">
        <v>2832</v>
      </c>
      <c r="D439" s="44"/>
      <c r="E439" s="44"/>
      <c r="F439" s="44"/>
      <c r="G439" s="48">
        <f>G437-13</f>
        <v>-46</v>
      </c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23.25" customHeight="1">
      <c r="A440" s="54" t="s">
        <v>2854</v>
      </c>
      <c r="B440" s="47" t="s">
        <v>2818</v>
      </c>
      <c r="C440" s="47" t="s">
        <v>2904</v>
      </c>
      <c r="D440" s="44"/>
      <c r="E440" s="44"/>
      <c r="F440" s="44"/>
      <c r="G440" s="48">
        <f>C433-35.5</f>
        <v>-35.5</v>
      </c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23.25" customHeight="1">
      <c r="A441" s="46"/>
      <c r="B441" s="47" t="s">
        <v>2820</v>
      </c>
      <c r="C441" s="44">
        <v>23</v>
      </c>
      <c r="D441" s="44"/>
      <c r="E441" s="44"/>
      <c r="F441" s="44"/>
      <c r="G441" s="48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23.25" customHeight="1">
      <c r="A442" s="2" t="s">
        <v>2839</v>
      </c>
      <c r="B442" s="2"/>
      <c r="C442" s="2"/>
      <c r="D442" s="2"/>
      <c r="E442" s="2"/>
      <c r="F442" s="2"/>
      <c r="G442" s="48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23.25" customHeight="1">
      <c r="A443" s="43" t="s">
        <v>2912</v>
      </c>
      <c r="B443" s="44"/>
      <c r="C443" s="44"/>
      <c r="D443" s="44"/>
      <c r="E443" s="55">
        <f>C444</f>
        <v>0</v>
      </c>
      <c r="F443" s="44"/>
      <c r="G443" s="5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23.25" customHeight="1">
      <c r="A444" s="46"/>
      <c r="B444" s="47" t="s">
        <v>2805</v>
      </c>
      <c r="C444" s="48">
        <v>0</v>
      </c>
      <c r="D444" s="44">
        <v>140</v>
      </c>
      <c r="E444" s="44"/>
      <c r="F444" s="44"/>
      <c r="G444" s="5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23.25" customHeight="1">
      <c r="A445" s="46"/>
      <c r="B445" s="47" t="s">
        <v>2806</v>
      </c>
      <c r="C445" s="48">
        <v>0</v>
      </c>
      <c r="D445" s="44"/>
      <c r="E445" s="44"/>
      <c r="F445" s="44"/>
      <c r="G445" s="5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23.25" customHeight="1">
      <c r="A446" s="51"/>
      <c r="B446" s="52"/>
      <c r="C446" s="52"/>
      <c r="D446" s="52"/>
      <c r="E446" s="52"/>
      <c r="F446" s="52"/>
      <c r="G446" s="52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23.25" customHeight="1">
      <c r="A447" s="54" t="s">
        <v>2842</v>
      </c>
      <c r="B447" s="47" t="s">
        <v>2808</v>
      </c>
      <c r="C447" s="47" t="s">
        <v>2886</v>
      </c>
      <c r="D447" s="44"/>
      <c r="E447" s="44"/>
      <c r="F447" s="44"/>
      <c r="G447" s="48">
        <f>C444-5</f>
        <v>-5</v>
      </c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23.25" customHeight="1">
      <c r="A448" s="46"/>
      <c r="B448" s="47" t="s">
        <v>2810</v>
      </c>
      <c r="C448" s="47" t="s">
        <v>2906</v>
      </c>
      <c r="D448" s="44"/>
      <c r="E448" s="44"/>
      <c r="F448" s="44"/>
      <c r="G448" s="48">
        <f>C445-38</f>
        <v>-38</v>
      </c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23.25" customHeight="1">
      <c r="A449" s="54" t="s">
        <v>2817</v>
      </c>
      <c r="B449" s="47" t="s">
        <v>2818</v>
      </c>
      <c r="C449" s="47" t="s">
        <v>2831</v>
      </c>
      <c r="D449" s="44"/>
      <c r="E449" s="44"/>
      <c r="F449" s="44"/>
      <c r="G449" s="48">
        <f>G447-13</f>
        <v>-18</v>
      </c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23.25" customHeight="1">
      <c r="A450" s="46"/>
      <c r="B450" s="47" t="s">
        <v>2820</v>
      </c>
      <c r="C450" s="47" t="s">
        <v>2832</v>
      </c>
      <c r="D450" s="44"/>
      <c r="E450" s="44"/>
      <c r="F450" s="44"/>
      <c r="G450" s="48">
        <f>G448-13</f>
        <v>-51</v>
      </c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23.25" customHeight="1">
      <c r="A451" s="54" t="s">
        <v>2854</v>
      </c>
      <c r="B451" s="47" t="s">
        <v>2818</v>
      </c>
      <c r="C451" s="47" t="s">
        <v>2907</v>
      </c>
      <c r="D451" s="44"/>
      <c r="E451" s="44"/>
      <c r="F451" s="44"/>
      <c r="G451" s="48">
        <f>C444-40.5</f>
        <v>-40.5</v>
      </c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23.25" customHeight="1">
      <c r="A452" s="46"/>
      <c r="B452" s="47" t="s">
        <v>2820</v>
      </c>
      <c r="C452" s="44">
        <v>33</v>
      </c>
      <c r="D452" s="44"/>
      <c r="E452" s="44"/>
      <c r="F452" s="44"/>
      <c r="G452" s="48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23.25" customHeight="1">
      <c r="A453" s="2" t="s">
        <v>2839</v>
      </c>
      <c r="B453" s="2"/>
      <c r="C453" s="2"/>
      <c r="D453" s="2"/>
      <c r="E453" s="2"/>
      <c r="F453" s="2"/>
      <c r="G453" s="48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23.25" customHeight="1">
      <c r="A454" s="43" t="s">
        <v>2913</v>
      </c>
      <c r="B454" s="44"/>
      <c r="C454" s="44"/>
      <c r="D454" s="44"/>
      <c r="E454" s="55">
        <f>C455</f>
        <v>0</v>
      </c>
      <c r="F454" s="44"/>
      <c r="G454" s="5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23.25" customHeight="1">
      <c r="A455" s="46"/>
      <c r="B455" s="47" t="s">
        <v>2805</v>
      </c>
      <c r="C455" s="48">
        <v>0</v>
      </c>
      <c r="D455" s="44">
        <v>140</v>
      </c>
      <c r="E455" s="44"/>
      <c r="F455" s="44"/>
      <c r="G455" s="5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23.25" customHeight="1">
      <c r="A456" s="46"/>
      <c r="B456" s="47" t="s">
        <v>2806</v>
      </c>
      <c r="C456" s="48">
        <v>0</v>
      </c>
      <c r="D456" s="44"/>
      <c r="E456" s="44"/>
      <c r="F456" s="44"/>
      <c r="G456" s="5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23.25" customHeight="1">
      <c r="A457" s="51"/>
      <c r="B457" s="52"/>
      <c r="C457" s="52"/>
      <c r="D457" s="52"/>
      <c r="E457" s="52"/>
      <c r="F457" s="52"/>
      <c r="G457" s="52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23.25" customHeight="1">
      <c r="A458" s="54" t="s">
        <v>2842</v>
      </c>
      <c r="B458" s="47" t="s">
        <v>2808</v>
      </c>
      <c r="C458" s="47" t="s">
        <v>2886</v>
      </c>
      <c r="D458" s="44"/>
      <c r="E458" s="44"/>
      <c r="F458" s="44"/>
      <c r="G458" s="48">
        <f>C455-5</f>
        <v>-5</v>
      </c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23.25" customHeight="1">
      <c r="A459" s="46"/>
      <c r="B459" s="47" t="s">
        <v>2810</v>
      </c>
      <c r="C459" s="47" t="s">
        <v>2909</v>
      </c>
      <c r="D459" s="44"/>
      <c r="E459" s="44"/>
      <c r="F459" s="44"/>
      <c r="G459" s="48">
        <f>C456-43</f>
        <v>-43</v>
      </c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23.25" customHeight="1">
      <c r="A460" s="54" t="s">
        <v>2817</v>
      </c>
      <c r="B460" s="47" t="s">
        <v>2818</v>
      </c>
      <c r="C460" s="47" t="s">
        <v>2831</v>
      </c>
      <c r="D460" s="44"/>
      <c r="E460" s="44"/>
      <c r="F460" s="44"/>
      <c r="G460" s="48">
        <f>G458-13</f>
        <v>-18</v>
      </c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23.25" customHeight="1">
      <c r="A461" s="46"/>
      <c r="B461" s="47" t="s">
        <v>2820</v>
      </c>
      <c r="C461" s="47" t="s">
        <v>2832</v>
      </c>
      <c r="D461" s="44"/>
      <c r="E461" s="44"/>
      <c r="F461" s="44"/>
      <c r="G461" s="48">
        <f>G459-13</f>
        <v>-56</v>
      </c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23.25" customHeight="1">
      <c r="A462" s="54" t="s">
        <v>2854</v>
      </c>
      <c r="B462" s="47" t="s">
        <v>2818</v>
      </c>
      <c r="C462" s="47" t="s">
        <v>2910</v>
      </c>
      <c r="D462" s="44"/>
      <c r="E462" s="44"/>
      <c r="F462" s="44"/>
      <c r="G462" s="48">
        <f>C455-35.5</f>
        <v>-35.5</v>
      </c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23.25" customHeight="1">
      <c r="A463" s="46"/>
      <c r="B463" s="47" t="s">
        <v>2820</v>
      </c>
      <c r="C463" s="44">
        <v>33</v>
      </c>
      <c r="D463" s="44"/>
      <c r="E463" s="44"/>
      <c r="F463" s="44"/>
      <c r="G463" s="48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48.75" customHeight="1">
      <c r="A464" s="2" t="s">
        <v>2839</v>
      </c>
      <c r="B464" s="2"/>
      <c r="C464" s="2"/>
      <c r="D464" s="2"/>
      <c r="E464" s="2"/>
      <c r="F464" s="2"/>
      <c r="G464" s="48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23.25" customHeight="1">
      <c r="A465" s="42"/>
      <c r="B465" s="42"/>
      <c r="C465" s="42"/>
      <c r="D465" s="42"/>
      <c r="E465" s="42"/>
      <c r="F465" s="42"/>
      <c r="G465" s="42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23.25" customHeight="1">
      <c r="A466" s="42"/>
      <c r="B466" s="42"/>
      <c r="C466" s="42"/>
      <c r="D466" s="42"/>
      <c r="E466" s="42"/>
      <c r="F466" s="42"/>
      <c r="G466" s="42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23.25" customHeight="1">
      <c r="A467" s="42"/>
      <c r="B467" s="42"/>
      <c r="C467" s="42"/>
      <c r="D467" s="42"/>
      <c r="E467" s="42"/>
      <c r="F467" s="42"/>
      <c r="G467" s="42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23.25" customHeight="1">
      <c r="A468" s="43" t="s">
        <v>2914</v>
      </c>
      <c r="B468" s="44"/>
      <c r="C468" s="44"/>
      <c r="D468" s="44"/>
      <c r="E468" s="44">
        <f>G468</f>
        <v>100</v>
      </c>
      <c r="F468" s="44"/>
      <c r="G468" s="45">
        <f>C469</f>
        <v>100</v>
      </c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23.25" customHeight="1">
      <c r="A469" s="46"/>
      <c r="B469" s="47" t="s">
        <v>2805</v>
      </c>
      <c r="C469" s="48">
        <v>100</v>
      </c>
      <c r="D469" s="44">
        <f>F469</f>
        <v>100</v>
      </c>
      <c r="E469" s="44"/>
      <c r="F469" s="49">
        <f>C470</f>
        <v>100</v>
      </c>
      <c r="G469" s="50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23.25" customHeight="1">
      <c r="A470" s="46"/>
      <c r="B470" s="47" t="s">
        <v>2806</v>
      </c>
      <c r="C470" s="48">
        <v>100</v>
      </c>
      <c r="D470" s="44"/>
      <c r="E470" s="44"/>
      <c r="F470" s="44"/>
      <c r="G470" s="50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23.25" customHeight="1">
      <c r="A471" s="51"/>
      <c r="B471" s="52"/>
      <c r="C471" s="52"/>
      <c r="D471" s="52"/>
      <c r="E471" s="52"/>
      <c r="F471" s="52"/>
      <c r="G471" s="52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23.25" customHeight="1">
      <c r="A472" s="54" t="s">
        <v>2807</v>
      </c>
      <c r="B472" s="47" t="s">
        <v>2808</v>
      </c>
      <c r="C472" s="47" t="s">
        <v>2915</v>
      </c>
      <c r="D472" s="44"/>
      <c r="E472" s="44"/>
      <c r="F472" s="44"/>
      <c r="G472" s="48">
        <f>(C469+3)/2</f>
        <v>51.5</v>
      </c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23.25" customHeight="1">
      <c r="A473" s="46"/>
      <c r="B473" s="47" t="s">
        <v>2810</v>
      </c>
      <c r="C473" s="47" t="s">
        <v>2916</v>
      </c>
      <c r="D473" s="44"/>
      <c r="E473" s="44"/>
      <c r="F473" s="44"/>
      <c r="G473" s="48">
        <f>C470-6.5</f>
        <v>93.5</v>
      </c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23.25" customHeight="1">
      <c r="A474" s="54" t="s">
        <v>2812</v>
      </c>
      <c r="B474" s="47" t="s">
        <v>2813</v>
      </c>
      <c r="C474" s="47" t="s">
        <v>2814</v>
      </c>
      <c r="D474" s="44"/>
      <c r="E474" s="44"/>
      <c r="F474" s="44"/>
      <c r="G474" s="48">
        <f>G472</f>
        <v>51.5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23.25" customHeight="1">
      <c r="A475" s="46"/>
      <c r="B475" s="47" t="s">
        <v>2815</v>
      </c>
      <c r="C475" s="47" t="s">
        <v>2816</v>
      </c>
      <c r="D475" s="44"/>
      <c r="E475" s="44"/>
      <c r="F475" s="44"/>
      <c r="G475" s="48">
        <f>G473+2</f>
        <v>95.5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23.25" customHeight="1">
      <c r="A476" s="54" t="s">
        <v>2817</v>
      </c>
      <c r="B476" s="47" t="s">
        <v>2818</v>
      </c>
      <c r="C476" s="47" t="s">
        <v>2831</v>
      </c>
      <c r="D476" s="44"/>
      <c r="E476" s="44"/>
      <c r="F476" s="44"/>
      <c r="G476" s="48">
        <f>G472-13</f>
        <v>38.5</v>
      </c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23.25" customHeight="1">
      <c r="A477" s="46"/>
      <c r="B477" s="47" t="s">
        <v>2820</v>
      </c>
      <c r="C477" s="47" t="s">
        <v>2832</v>
      </c>
      <c r="D477" s="44"/>
      <c r="E477" s="44"/>
      <c r="F477" s="44"/>
      <c r="G477" s="48">
        <f>G473-13</f>
        <v>80.5</v>
      </c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23.25" customHeight="1">
      <c r="A478" s="46"/>
      <c r="B478" s="44"/>
      <c r="C478" s="44"/>
      <c r="D478" s="44"/>
      <c r="E478" s="44"/>
      <c r="F478" s="44"/>
      <c r="G478" s="48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23.25" customHeight="1">
      <c r="A479" s="51"/>
      <c r="B479" s="52"/>
      <c r="C479" s="52"/>
      <c r="D479" s="52"/>
      <c r="E479" s="52"/>
      <c r="F479" s="52"/>
      <c r="G479" s="52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23.25" customHeight="1">
      <c r="A480" s="51"/>
      <c r="B480" s="51"/>
      <c r="C480" s="51"/>
      <c r="D480" s="51"/>
      <c r="E480" s="51"/>
      <c r="F480" s="51"/>
      <c r="G480" s="51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23.25" customHeight="1">
      <c r="A481" s="43" t="s">
        <v>2917</v>
      </c>
      <c r="B481" s="44"/>
      <c r="C481" s="44"/>
      <c r="D481" s="44"/>
      <c r="E481" s="44">
        <f>G481</f>
        <v>100</v>
      </c>
      <c r="F481" s="44"/>
      <c r="G481" s="45">
        <f>C482</f>
        <v>100</v>
      </c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23.25" customHeight="1">
      <c r="A482" s="46"/>
      <c r="B482" s="47" t="s">
        <v>2805</v>
      </c>
      <c r="C482" s="48">
        <v>100</v>
      </c>
      <c r="D482" s="44">
        <f>F482</f>
        <v>100</v>
      </c>
      <c r="E482" s="44"/>
      <c r="F482" s="49">
        <f>C483</f>
        <v>100</v>
      </c>
      <c r="G482" s="50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23.25" customHeight="1">
      <c r="A483" s="46"/>
      <c r="B483" s="47" t="s">
        <v>2806</v>
      </c>
      <c r="C483" s="48">
        <v>100</v>
      </c>
      <c r="D483" s="44"/>
      <c r="E483" s="44"/>
      <c r="F483" s="44"/>
      <c r="G483" s="50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23.25" customHeight="1">
      <c r="A484" s="51"/>
      <c r="B484" s="52"/>
      <c r="C484" s="52"/>
      <c r="D484" s="52"/>
      <c r="E484" s="52"/>
      <c r="F484" s="52"/>
      <c r="G484" s="52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23.25" customHeight="1">
      <c r="A485" s="54" t="s">
        <v>2807</v>
      </c>
      <c r="B485" s="47" t="s">
        <v>2808</v>
      </c>
      <c r="C485" s="47" t="s">
        <v>2918</v>
      </c>
      <c r="D485" s="44"/>
      <c r="E485" s="44"/>
      <c r="F485" s="44"/>
      <c r="G485" s="48">
        <f>(C482+10)/4</f>
        <v>27.5</v>
      </c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23.25" customHeight="1">
      <c r="A486" s="46"/>
      <c r="B486" s="47" t="s">
        <v>2810</v>
      </c>
      <c r="C486" s="47" t="s">
        <v>2916</v>
      </c>
      <c r="D486" s="44"/>
      <c r="E486" s="44"/>
      <c r="F486" s="44"/>
      <c r="G486" s="48">
        <f>C483-6.5</f>
        <v>93.5</v>
      </c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23.25" customHeight="1">
      <c r="A487" s="54" t="s">
        <v>2812</v>
      </c>
      <c r="B487" s="47" t="s">
        <v>2813</v>
      </c>
      <c r="C487" s="47" t="s">
        <v>2814</v>
      </c>
      <c r="D487" s="44"/>
      <c r="E487" s="44"/>
      <c r="F487" s="44"/>
      <c r="G487" s="48">
        <f>G485</f>
        <v>27.5</v>
      </c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23.25" customHeight="1">
      <c r="A488" s="46"/>
      <c r="B488" s="47" t="s">
        <v>2815</v>
      </c>
      <c r="C488" s="47" t="s">
        <v>2816</v>
      </c>
      <c r="D488" s="44"/>
      <c r="E488" s="44"/>
      <c r="F488" s="44"/>
      <c r="G488" s="48">
        <f>G486+2</f>
        <v>95.5</v>
      </c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23.25" customHeight="1">
      <c r="A489" s="54" t="s">
        <v>2817</v>
      </c>
      <c r="B489" s="47" t="s">
        <v>2818</v>
      </c>
      <c r="C489" s="47" t="s">
        <v>2831</v>
      </c>
      <c r="D489" s="44"/>
      <c r="E489" s="44"/>
      <c r="F489" s="44"/>
      <c r="G489" s="48">
        <f>G485-13</f>
        <v>14.5</v>
      </c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40.5" customHeight="1">
      <c r="A490" s="46"/>
      <c r="B490" s="47" t="s">
        <v>2820</v>
      </c>
      <c r="C490" s="47" t="s">
        <v>2832</v>
      </c>
      <c r="D490" s="44"/>
      <c r="E490" s="44"/>
      <c r="F490" s="44"/>
      <c r="G490" s="48">
        <f>G486-13</f>
        <v>80.5</v>
      </c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78" customHeight="1">
      <c r="A491" s="46"/>
      <c r="B491" s="44"/>
      <c r="C491" s="44"/>
      <c r="D491" s="44"/>
      <c r="E491" s="44"/>
      <c r="F491" s="44"/>
      <c r="G491" s="48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42.75" customHeight="1">
      <c r="A492" s="51"/>
      <c r="B492" s="52"/>
      <c r="C492" s="52"/>
      <c r="D492" s="52"/>
      <c r="E492" s="52"/>
      <c r="F492" s="52"/>
      <c r="G492" s="52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32.25" customHeight="1">
      <c r="A493" s="43" t="s">
        <v>2919</v>
      </c>
      <c r="B493" s="44"/>
      <c r="C493" s="44"/>
      <c r="D493" s="44"/>
      <c r="E493" s="55">
        <f>C494</f>
        <v>80</v>
      </c>
      <c r="F493" s="44"/>
      <c r="G493" s="5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33" customHeight="1">
      <c r="A494" s="46"/>
      <c r="B494" s="47" t="s">
        <v>2805</v>
      </c>
      <c r="C494" s="48">
        <v>80</v>
      </c>
      <c r="D494" s="44">
        <f>C495</f>
        <v>100</v>
      </c>
      <c r="E494" s="44"/>
      <c r="F494" s="44"/>
      <c r="G494" s="5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21.75" customHeight="1">
      <c r="A495" s="46"/>
      <c r="B495" s="47" t="s">
        <v>2806</v>
      </c>
      <c r="C495" s="48">
        <v>100</v>
      </c>
      <c r="D495" s="44"/>
      <c r="E495" s="44"/>
      <c r="F495" s="44"/>
      <c r="G495" s="56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23.25" customHeight="1">
      <c r="A496" s="51"/>
      <c r="B496" s="52"/>
      <c r="C496" s="52"/>
      <c r="D496" s="52"/>
      <c r="E496" s="52"/>
      <c r="F496" s="52"/>
      <c r="G496" s="52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23.25" customHeight="1">
      <c r="A497" s="54" t="s">
        <v>2807</v>
      </c>
      <c r="B497" s="47" t="s">
        <v>2808</v>
      </c>
      <c r="C497" s="47" t="s">
        <v>2883</v>
      </c>
      <c r="D497" s="44"/>
      <c r="E497" s="44"/>
      <c r="F497" s="44"/>
      <c r="G497" s="48">
        <f>C494-4.5</f>
        <v>75.5</v>
      </c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23.25" customHeight="1">
      <c r="A498" s="46"/>
      <c r="B498" s="47" t="s">
        <v>2810</v>
      </c>
      <c r="C498" s="47" t="s">
        <v>2884</v>
      </c>
      <c r="D498" s="44"/>
      <c r="E498" s="44"/>
      <c r="F498" s="44"/>
      <c r="G498" s="48">
        <f>C495-4.5</f>
        <v>95.5</v>
      </c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23.25" customHeight="1">
      <c r="A499" s="54" t="s">
        <v>2817</v>
      </c>
      <c r="B499" s="47" t="s">
        <v>2818</v>
      </c>
      <c r="C499" s="47" t="s">
        <v>2920</v>
      </c>
      <c r="D499" s="44"/>
      <c r="E499" s="44"/>
      <c r="F499" s="44"/>
      <c r="G499" s="48">
        <f>G497-11.5</f>
        <v>64</v>
      </c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23.25" customHeight="1">
      <c r="A500" s="46"/>
      <c r="B500" s="47" t="s">
        <v>2820</v>
      </c>
      <c r="C500" s="47" t="s">
        <v>2920</v>
      </c>
      <c r="D500" s="44"/>
      <c r="E500" s="44"/>
      <c r="F500" s="44"/>
      <c r="G500" s="48">
        <f>G498-11.5</f>
        <v>84</v>
      </c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48.75" customHeight="1">
      <c r="A501" s="2" t="s">
        <v>2839</v>
      </c>
      <c r="B501" s="2"/>
      <c r="C501" s="2"/>
      <c r="D501" s="2"/>
      <c r="E501" s="2"/>
      <c r="F501" s="2"/>
      <c r="G501" s="48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23.25" customHeight="1">
      <c r="A502" s="2" t="s">
        <v>2840</v>
      </c>
      <c r="B502" s="2"/>
      <c r="C502" s="2"/>
      <c r="D502" s="2"/>
      <c r="E502" s="2"/>
      <c r="F502" s="2"/>
      <c r="G502" s="48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23.25" customHeight="1">
      <c r="A503" s="51"/>
      <c r="B503" s="52"/>
      <c r="C503" s="52"/>
      <c r="D503" s="52"/>
      <c r="E503" s="52"/>
      <c r="F503" s="52"/>
      <c r="G503" s="52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23.25" customHeight="1">
      <c r="A504" s="43" t="s">
        <v>2921</v>
      </c>
      <c r="B504" s="44"/>
      <c r="C504" s="44"/>
      <c r="D504" s="44"/>
      <c r="E504" s="55">
        <f>C505</f>
        <v>100</v>
      </c>
      <c r="F504" s="44"/>
      <c r="G504" s="56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23.25" customHeight="1">
      <c r="A505" s="46"/>
      <c r="B505" s="47" t="s">
        <v>2805</v>
      </c>
      <c r="C505" s="48">
        <v>100</v>
      </c>
      <c r="D505" s="44">
        <f>C506</f>
        <v>120</v>
      </c>
      <c r="E505" s="44"/>
      <c r="F505" s="44"/>
      <c r="G505" s="56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23.25" customHeight="1">
      <c r="A506" s="46"/>
      <c r="B506" s="47" t="s">
        <v>2806</v>
      </c>
      <c r="C506" s="48">
        <v>120</v>
      </c>
      <c r="D506" s="44"/>
      <c r="E506" s="44"/>
      <c r="F506" s="44"/>
      <c r="G506" s="56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23.25" customHeight="1">
      <c r="A507" s="51"/>
      <c r="B507" s="52"/>
      <c r="C507" s="52"/>
      <c r="D507" s="52"/>
      <c r="E507" s="52"/>
      <c r="F507" s="52"/>
      <c r="G507" s="52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23.25" customHeight="1">
      <c r="A508" s="54" t="s">
        <v>2842</v>
      </c>
      <c r="B508" s="47" t="s">
        <v>2808</v>
      </c>
      <c r="C508" s="47" t="s">
        <v>2890</v>
      </c>
      <c r="D508" s="44"/>
      <c r="E508" s="44"/>
      <c r="F508" s="44">
        <f>C505-5</f>
        <v>95</v>
      </c>
      <c r="G508" s="48">
        <f>F508/2</f>
        <v>47.5</v>
      </c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23.25" customHeight="1">
      <c r="A509" s="46"/>
      <c r="B509" s="47" t="s">
        <v>2810</v>
      </c>
      <c r="C509" s="47" t="s">
        <v>2884</v>
      </c>
      <c r="D509" s="44"/>
      <c r="E509" s="44"/>
      <c r="F509" s="44"/>
      <c r="G509" s="48">
        <f>C506-4.5</f>
        <v>115.5</v>
      </c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23.25" customHeight="1">
      <c r="A510" s="54" t="s">
        <v>2817</v>
      </c>
      <c r="B510" s="47" t="s">
        <v>2818</v>
      </c>
      <c r="C510" s="47" t="s">
        <v>2920</v>
      </c>
      <c r="D510" s="44"/>
      <c r="E510" s="44"/>
      <c r="F510" s="44"/>
      <c r="G510" s="48">
        <f>G508-11.5</f>
        <v>36</v>
      </c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23.25" customHeight="1">
      <c r="A511" s="46"/>
      <c r="B511" s="47" t="s">
        <v>2820</v>
      </c>
      <c r="C511" s="47" t="s">
        <v>2920</v>
      </c>
      <c r="D511" s="44"/>
      <c r="E511" s="44"/>
      <c r="F511" s="44"/>
      <c r="G511" s="48">
        <f>G509-11.5</f>
        <v>104</v>
      </c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23.25" customHeight="1">
      <c r="A512" s="2" t="s">
        <v>2839</v>
      </c>
      <c r="B512" s="2"/>
      <c r="C512" s="2"/>
      <c r="D512" s="2"/>
      <c r="E512" s="2"/>
      <c r="F512" s="2"/>
      <c r="G512" s="48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23.25" customHeight="1">
      <c r="A513" s="2" t="s">
        <v>2840</v>
      </c>
      <c r="B513" s="2"/>
      <c r="C513" s="2"/>
      <c r="D513" s="2"/>
      <c r="E513" s="2"/>
      <c r="F513" s="2"/>
      <c r="G513" s="48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23.25" customHeight="1">
      <c r="A514" s="2" t="s">
        <v>2844</v>
      </c>
      <c r="B514" s="2"/>
      <c r="C514" s="2"/>
      <c r="D514" s="2"/>
      <c r="E514" s="2"/>
      <c r="F514" s="2"/>
      <c r="G514" s="48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23.25" customHeight="1">
      <c r="A515" s="2" t="s">
        <v>2845</v>
      </c>
      <c r="B515" s="2"/>
      <c r="C515" s="2"/>
      <c r="D515" s="2"/>
      <c r="E515" s="2"/>
      <c r="F515" s="2"/>
      <c r="G515" s="48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23.25" customHeight="1">
      <c r="A516" s="2" t="s">
        <v>2846</v>
      </c>
      <c r="B516" s="2"/>
      <c r="C516" s="2"/>
      <c r="D516" s="2"/>
      <c r="E516" s="2"/>
      <c r="F516" s="2"/>
      <c r="G516" s="48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23.25" customHeight="1">
      <c r="A517" s="51"/>
      <c r="B517" s="52"/>
      <c r="C517" s="52"/>
      <c r="D517" s="52"/>
      <c r="E517" s="52"/>
      <c r="F517" s="52"/>
      <c r="G517" s="52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23.25" customHeight="1">
      <c r="A518" s="43" t="s">
        <v>2922</v>
      </c>
      <c r="B518" s="44"/>
      <c r="C518" s="44"/>
      <c r="D518" s="44"/>
      <c r="E518" s="55">
        <f>C519</f>
        <v>0</v>
      </c>
      <c r="F518" s="44"/>
      <c r="G518" s="56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23.25" customHeight="1">
      <c r="A519" s="46"/>
      <c r="B519" s="47" t="s">
        <v>2805</v>
      </c>
      <c r="C519" s="48">
        <v>0</v>
      </c>
      <c r="D519" s="44">
        <v>140</v>
      </c>
      <c r="E519" s="44"/>
      <c r="F519" s="44"/>
      <c r="G519" s="56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23.25" customHeight="1">
      <c r="A520" s="46"/>
      <c r="B520" s="47" t="s">
        <v>2806</v>
      </c>
      <c r="C520" s="48">
        <v>0</v>
      </c>
      <c r="D520" s="44"/>
      <c r="E520" s="44"/>
      <c r="F520" s="44"/>
      <c r="G520" s="56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23.25" customHeight="1">
      <c r="A521" s="51"/>
      <c r="B521" s="52"/>
      <c r="C521" s="52"/>
      <c r="D521" s="52"/>
      <c r="E521" s="52"/>
      <c r="F521" s="52"/>
      <c r="G521" s="52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23.25" customHeight="1">
      <c r="A522" s="54" t="s">
        <v>2842</v>
      </c>
      <c r="B522" s="47" t="s">
        <v>2808</v>
      </c>
      <c r="C522" s="47" t="s">
        <v>2902</v>
      </c>
      <c r="D522" s="44"/>
      <c r="E522" s="44"/>
      <c r="F522" s="44"/>
      <c r="G522" s="48">
        <f>C519-4.5</f>
        <v>-4.5</v>
      </c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23.25" customHeight="1">
      <c r="A523" s="46"/>
      <c r="B523" s="47" t="s">
        <v>2810</v>
      </c>
      <c r="C523" s="47" t="s">
        <v>2903</v>
      </c>
      <c r="D523" s="44"/>
      <c r="E523" s="44"/>
      <c r="F523" s="44"/>
      <c r="G523" s="48">
        <f>C520-33</f>
        <v>-33</v>
      </c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23.25" customHeight="1">
      <c r="A524" s="54" t="s">
        <v>2817</v>
      </c>
      <c r="B524" s="47" t="s">
        <v>2818</v>
      </c>
      <c r="C524" s="47" t="s">
        <v>2831</v>
      </c>
      <c r="D524" s="44"/>
      <c r="E524" s="44"/>
      <c r="F524" s="44"/>
      <c r="G524" s="48">
        <f>G522-13</f>
        <v>-17.5</v>
      </c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23.25" customHeight="1">
      <c r="A525" s="46"/>
      <c r="B525" s="47" t="s">
        <v>2820</v>
      </c>
      <c r="C525" s="47" t="s">
        <v>2832</v>
      </c>
      <c r="D525" s="44"/>
      <c r="E525" s="44"/>
      <c r="F525" s="44"/>
      <c r="G525" s="48">
        <f>G523-13</f>
        <v>-46</v>
      </c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23.25" customHeight="1">
      <c r="A526" s="54" t="s">
        <v>2854</v>
      </c>
      <c r="B526" s="47" t="s">
        <v>2818</v>
      </c>
      <c r="C526" s="47" t="s">
        <v>2904</v>
      </c>
      <c r="D526" s="44"/>
      <c r="E526" s="44"/>
      <c r="F526" s="44"/>
      <c r="G526" s="48">
        <f>C519-35.5</f>
        <v>-35.5</v>
      </c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23.25" customHeight="1">
      <c r="A527" s="46"/>
      <c r="B527" s="47" t="s">
        <v>2820</v>
      </c>
      <c r="C527" s="44">
        <v>23</v>
      </c>
      <c r="D527" s="44"/>
      <c r="E527" s="44"/>
      <c r="F527" s="44"/>
      <c r="G527" s="48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23.25" customHeight="1">
      <c r="A528" s="2" t="s">
        <v>2839</v>
      </c>
      <c r="B528" s="2"/>
      <c r="C528" s="2"/>
      <c r="D528" s="2"/>
      <c r="E528" s="2"/>
      <c r="F528" s="2"/>
      <c r="G528" s="48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23.25" customHeight="1">
      <c r="A529" s="51"/>
      <c r="B529" s="52"/>
      <c r="C529" s="52"/>
      <c r="D529" s="52"/>
      <c r="E529" s="52"/>
      <c r="F529" s="52"/>
      <c r="G529" s="52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23.25" customHeight="1">
      <c r="A530" s="43" t="s">
        <v>2923</v>
      </c>
      <c r="B530" s="44"/>
      <c r="C530" s="44"/>
      <c r="D530" s="44"/>
      <c r="E530" s="55">
        <f>C531</f>
        <v>0</v>
      </c>
      <c r="F530" s="44"/>
      <c r="G530" s="56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23.25" customHeight="1">
      <c r="A531" s="46"/>
      <c r="B531" s="47" t="s">
        <v>2805</v>
      </c>
      <c r="C531" s="48">
        <v>0</v>
      </c>
      <c r="D531" s="44">
        <v>140</v>
      </c>
      <c r="E531" s="44"/>
      <c r="F531" s="44"/>
      <c r="G531" s="56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23.25" customHeight="1">
      <c r="A532" s="46"/>
      <c r="B532" s="47" t="s">
        <v>2806</v>
      </c>
      <c r="C532" s="48">
        <v>0</v>
      </c>
      <c r="D532" s="44"/>
      <c r="E532" s="44"/>
      <c r="F532" s="44"/>
      <c r="G532" s="56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23.25" customHeight="1">
      <c r="A533" s="51"/>
      <c r="B533" s="52"/>
      <c r="C533" s="52"/>
      <c r="D533" s="52"/>
      <c r="E533" s="52"/>
      <c r="F533" s="52"/>
      <c r="G533" s="52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23.25" customHeight="1">
      <c r="A534" s="54" t="s">
        <v>2842</v>
      </c>
      <c r="B534" s="47" t="s">
        <v>2808</v>
      </c>
      <c r="C534" s="47" t="s">
        <v>2902</v>
      </c>
      <c r="D534" s="44"/>
      <c r="E534" s="44"/>
      <c r="F534" s="44"/>
      <c r="G534" s="48">
        <f>C531-4.5</f>
        <v>-4.5</v>
      </c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23.25" customHeight="1">
      <c r="A535" s="46"/>
      <c r="B535" s="47" t="s">
        <v>2810</v>
      </c>
      <c r="C535" s="47" t="s">
        <v>2906</v>
      </c>
      <c r="D535" s="44"/>
      <c r="E535" s="44"/>
      <c r="F535" s="44"/>
      <c r="G535" s="48">
        <f>C532-38</f>
        <v>-38</v>
      </c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23.25" customHeight="1">
      <c r="A536" s="54" t="s">
        <v>2817</v>
      </c>
      <c r="B536" s="47" t="s">
        <v>2818</v>
      </c>
      <c r="C536" s="47" t="s">
        <v>2831</v>
      </c>
      <c r="D536" s="44"/>
      <c r="E536" s="44"/>
      <c r="F536" s="44"/>
      <c r="G536" s="48">
        <f>G534-13</f>
        <v>-17.5</v>
      </c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23.25" customHeight="1">
      <c r="A537" s="46"/>
      <c r="B537" s="47" t="s">
        <v>2820</v>
      </c>
      <c r="C537" s="47" t="s">
        <v>2832</v>
      </c>
      <c r="D537" s="44"/>
      <c r="E537" s="44"/>
      <c r="F537" s="44"/>
      <c r="G537" s="48">
        <f>G535-13</f>
        <v>-51</v>
      </c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23.25" customHeight="1">
      <c r="A538" s="54" t="s">
        <v>2854</v>
      </c>
      <c r="B538" s="47" t="s">
        <v>2818</v>
      </c>
      <c r="C538" s="47" t="s">
        <v>2907</v>
      </c>
      <c r="D538" s="44"/>
      <c r="E538" s="44"/>
      <c r="F538" s="44"/>
      <c r="G538" s="48">
        <f>C531-40.5</f>
        <v>-40.5</v>
      </c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23.25" customHeight="1">
      <c r="A539" s="46"/>
      <c r="B539" s="47" t="s">
        <v>2820</v>
      </c>
      <c r="C539" s="44">
        <v>28</v>
      </c>
      <c r="D539" s="44"/>
      <c r="E539" s="44"/>
      <c r="F539" s="44"/>
      <c r="G539" s="48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23.25" customHeight="1">
      <c r="A540" s="2" t="s">
        <v>2839</v>
      </c>
      <c r="B540" s="2"/>
      <c r="C540" s="2"/>
      <c r="D540" s="2"/>
      <c r="E540" s="2"/>
      <c r="F540" s="2"/>
      <c r="G540" s="48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23.25" customHeight="1">
      <c r="A541" s="51"/>
      <c r="B541" s="52"/>
      <c r="C541" s="52"/>
      <c r="D541" s="52"/>
      <c r="E541" s="52"/>
      <c r="F541" s="52"/>
      <c r="G541" s="52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23.25" customHeight="1">
      <c r="A542" s="43" t="s">
        <v>2924</v>
      </c>
      <c r="B542" s="44"/>
      <c r="C542" s="44"/>
      <c r="D542" s="44"/>
      <c r="E542" s="55">
        <f>C543</f>
        <v>0</v>
      </c>
      <c r="F542" s="44"/>
      <c r="G542" s="56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23.25" customHeight="1">
      <c r="A543" s="46"/>
      <c r="B543" s="47" t="s">
        <v>2805</v>
      </c>
      <c r="C543" s="48">
        <v>0</v>
      </c>
      <c r="D543" s="44">
        <v>140</v>
      </c>
      <c r="E543" s="44"/>
      <c r="F543" s="44"/>
      <c r="G543" s="56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23.25" customHeight="1">
      <c r="A544" s="46"/>
      <c r="B544" s="47" t="s">
        <v>2806</v>
      </c>
      <c r="C544" s="48">
        <v>0</v>
      </c>
      <c r="D544" s="44"/>
      <c r="E544" s="44"/>
      <c r="F544" s="44"/>
      <c r="G544" s="56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23.25" customHeight="1">
      <c r="A545" s="51"/>
      <c r="B545" s="52"/>
      <c r="C545" s="52"/>
      <c r="D545" s="52"/>
      <c r="E545" s="52"/>
      <c r="F545" s="52"/>
      <c r="G545" s="52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23.25" customHeight="1">
      <c r="A546" s="54" t="s">
        <v>2842</v>
      </c>
      <c r="B546" s="47" t="s">
        <v>2808</v>
      </c>
      <c r="C546" s="47" t="s">
        <v>2902</v>
      </c>
      <c r="D546" s="44"/>
      <c r="E546" s="44"/>
      <c r="F546" s="44"/>
      <c r="G546" s="48">
        <f>C543-4.5</f>
        <v>-4.5</v>
      </c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23.25" customHeight="1">
      <c r="A547" s="46"/>
      <c r="B547" s="47" t="s">
        <v>2810</v>
      </c>
      <c r="C547" s="47" t="s">
        <v>2909</v>
      </c>
      <c r="D547" s="44"/>
      <c r="E547" s="44"/>
      <c r="F547" s="44"/>
      <c r="G547" s="48">
        <f>C544-43</f>
        <v>-43</v>
      </c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23.25" customHeight="1">
      <c r="A548" s="54" t="s">
        <v>2817</v>
      </c>
      <c r="B548" s="47" t="s">
        <v>2818</v>
      </c>
      <c r="C548" s="47" t="s">
        <v>2831</v>
      </c>
      <c r="D548" s="44"/>
      <c r="E548" s="44"/>
      <c r="F548" s="44"/>
      <c r="G548" s="48">
        <f>G546-13</f>
        <v>-17.5</v>
      </c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23.25" customHeight="1">
      <c r="A549" s="46"/>
      <c r="B549" s="47" t="s">
        <v>2820</v>
      </c>
      <c r="C549" s="47" t="s">
        <v>2832</v>
      </c>
      <c r="D549" s="44"/>
      <c r="E549" s="44"/>
      <c r="F549" s="44"/>
      <c r="G549" s="48">
        <f>G547-13</f>
        <v>-56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23.25" customHeight="1">
      <c r="A550" s="54" t="s">
        <v>2854</v>
      </c>
      <c r="B550" s="47" t="s">
        <v>2818</v>
      </c>
      <c r="C550" s="47" t="s">
        <v>2910</v>
      </c>
      <c r="D550" s="44"/>
      <c r="E550" s="44"/>
      <c r="F550" s="44"/>
      <c r="G550" s="48">
        <f>C543-45.5</f>
        <v>-45.5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23.25" customHeight="1">
      <c r="A551" s="46"/>
      <c r="B551" s="47" t="s">
        <v>2820</v>
      </c>
      <c r="C551" s="44">
        <v>33</v>
      </c>
      <c r="D551" s="44"/>
      <c r="E551" s="44"/>
      <c r="F551" s="44"/>
      <c r="G551" s="48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23.25" customHeight="1">
      <c r="A552" s="2" t="s">
        <v>2839</v>
      </c>
      <c r="B552" s="2"/>
      <c r="C552" s="2"/>
      <c r="D552" s="2"/>
      <c r="E552" s="2"/>
      <c r="F552" s="2"/>
      <c r="G552" s="48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23.25" customHeight="1">
      <c r="A553" s="42"/>
      <c r="B553" s="1" t="s">
        <v>2925</v>
      </c>
      <c r="C553" s="1"/>
      <c r="D553" s="1"/>
      <c r="E553" s="42"/>
      <c r="F553" s="42"/>
      <c r="G553" s="42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23.25" customHeight="1">
      <c r="A554" s="42"/>
      <c r="B554" s="1"/>
      <c r="C554" s="1"/>
      <c r="D554" s="1"/>
      <c r="E554" s="42"/>
      <c r="F554" s="42"/>
      <c r="G554" s="42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23.25" customHeight="1">
      <c r="A555" s="42"/>
      <c r="B555" s="1"/>
      <c r="C555" s="1"/>
      <c r="D555" s="1"/>
      <c r="E555" s="42"/>
      <c r="F555" s="42"/>
      <c r="G555" s="42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23.25" customHeight="1">
      <c r="A556" s="51"/>
      <c r="B556" s="51"/>
      <c r="C556" s="51"/>
      <c r="D556" s="51"/>
      <c r="E556" s="51"/>
      <c r="F556" s="51"/>
      <c r="G556" s="51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23.25" customHeight="1">
      <c r="A557" s="43" t="s">
        <v>2926</v>
      </c>
      <c r="B557" s="44"/>
      <c r="C557" s="44"/>
      <c r="D557" s="44"/>
      <c r="E557" s="44"/>
      <c r="F557" s="44"/>
      <c r="G557" s="45">
        <f>C558</f>
        <v>100</v>
      </c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23.25" customHeight="1">
      <c r="A558" s="46"/>
      <c r="B558" s="47" t="s">
        <v>2805</v>
      </c>
      <c r="C558" s="48">
        <v>100</v>
      </c>
      <c r="D558" s="44">
        <f>C558*C559/10000</f>
        <v>1</v>
      </c>
      <c r="E558" s="44"/>
      <c r="F558" s="49"/>
      <c r="G558" s="50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23.25" customHeight="1">
      <c r="A559" s="46"/>
      <c r="B559" s="47" t="s">
        <v>2806</v>
      </c>
      <c r="C559" s="48">
        <v>100</v>
      </c>
      <c r="D559" s="44"/>
      <c r="E559" s="44"/>
      <c r="F559" s="44"/>
      <c r="G559" s="50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23.25" customHeight="1">
      <c r="A560" s="51"/>
      <c r="B560" s="52"/>
      <c r="C560" s="52"/>
      <c r="D560" s="52"/>
      <c r="E560" s="52"/>
      <c r="F560" s="52"/>
      <c r="G560" s="52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23.25" customHeight="1">
      <c r="A561" s="54" t="s">
        <v>2927</v>
      </c>
      <c r="B561" s="44"/>
      <c r="C561" s="47" t="s">
        <v>2928</v>
      </c>
      <c r="D561" s="44"/>
      <c r="E561" s="44"/>
      <c r="F561" s="44"/>
      <c r="G561" s="48">
        <f>C558-1</f>
        <v>99</v>
      </c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23.25" customHeight="1">
      <c r="A562" s="54" t="s">
        <v>2929</v>
      </c>
      <c r="B562" s="44"/>
      <c r="C562" s="47" t="s">
        <v>2930</v>
      </c>
      <c r="D562" s="44"/>
      <c r="E562" s="44"/>
      <c r="F562" s="44"/>
      <c r="G562" s="48">
        <f>C559-G568</f>
        <v>84</v>
      </c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23.25" customHeight="1">
      <c r="A563" s="54" t="s">
        <v>2931</v>
      </c>
      <c r="B563" s="44"/>
      <c r="C563" s="47" t="s">
        <v>2932</v>
      </c>
      <c r="D563" s="44"/>
      <c r="E563" s="44"/>
      <c r="F563" s="44"/>
      <c r="G563" s="48">
        <f>C558-12</f>
        <v>88</v>
      </c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23.25" customHeight="1">
      <c r="A564" s="54" t="s">
        <v>2933</v>
      </c>
      <c r="B564" s="44"/>
      <c r="C564" s="47" t="s">
        <v>2934</v>
      </c>
      <c r="D564" s="44"/>
      <c r="E564" s="44"/>
      <c r="F564" s="44"/>
      <c r="G564" s="48">
        <f>G563</f>
        <v>88</v>
      </c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23.25" customHeight="1">
      <c r="A565" s="54" t="s">
        <v>2935</v>
      </c>
      <c r="B565" s="44"/>
      <c r="C565" s="47" t="s">
        <v>2936</v>
      </c>
      <c r="D565" s="44"/>
      <c r="E565" s="44"/>
      <c r="F565" s="44"/>
      <c r="G565" s="48">
        <f>C558-10</f>
        <v>90</v>
      </c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23.25" customHeight="1">
      <c r="A566" s="54" t="s">
        <v>2937</v>
      </c>
      <c r="B566" s="44"/>
      <c r="C566" s="47" t="s">
        <v>2938</v>
      </c>
      <c r="D566" s="44"/>
      <c r="E566" s="44"/>
      <c r="F566" s="44"/>
      <c r="G566" s="48">
        <f>C558/50</f>
        <v>2</v>
      </c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23.25" customHeight="1">
      <c r="A567" s="54" t="s">
        <v>2939</v>
      </c>
      <c r="B567" s="44"/>
      <c r="C567" s="47" t="s">
        <v>2940</v>
      </c>
      <c r="D567" s="44"/>
      <c r="E567" s="44"/>
      <c r="F567" s="44"/>
      <c r="G567" s="59">
        <f>G571</f>
        <v>20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23.25" customHeight="1">
      <c r="A568" s="54" t="s">
        <v>2941</v>
      </c>
      <c r="B568" s="44"/>
      <c r="C568" s="47" t="s">
        <v>2942</v>
      </c>
      <c r="D568" s="44"/>
      <c r="E568" s="44"/>
      <c r="F568" s="44"/>
      <c r="G568" s="48">
        <f>IF(C559&lt;110, 16, IF(C559&lt;=135, 18, IF(C559&lt;=190, 20, IF(C559&lt;=270, 25, "خارج النطاق"))))</f>
        <v>16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23.25" customHeight="1">
      <c r="A569" s="54" t="s">
        <v>2943</v>
      </c>
      <c r="B569" s="44"/>
      <c r="C569" s="47" t="s">
        <v>2944</v>
      </c>
      <c r="D569" s="44"/>
      <c r="E569" s="44"/>
      <c r="F569" s="44"/>
      <c r="G569" s="48">
        <f>G568</f>
        <v>16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23.25" customHeight="1">
      <c r="A570" s="54" t="s">
        <v>2945</v>
      </c>
      <c r="B570" s="44"/>
      <c r="C570" s="44" t="s">
        <v>2946</v>
      </c>
      <c r="D570" s="44"/>
      <c r="E570" s="44"/>
      <c r="F570" s="44"/>
      <c r="G570" s="48">
        <f>IF(D558&lt;2.99,10,IF(D558&lt;=5.99,20,IF(D558&lt;=8.99,30,IF(D558&lt;=11.99,40,IF(D558&lt;=14.99,50,"خارج النطاق")))))</f>
        <v>10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23.25" customHeight="1">
      <c r="A571" s="54" t="s">
        <v>2947</v>
      </c>
      <c r="B571" s="44"/>
      <c r="C571" s="47" t="s">
        <v>2948</v>
      </c>
      <c r="D571" s="44"/>
      <c r="E571" s="44"/>
      <c r="F571" s="44"/>
      <c r="G571" s="59">
        <f>C559/5</f>
        <v>20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23.25" customHeight="1">
      <c r="A572" s="51"/>
      <c r="B572" s="51"/>
      <c r="C572" s="51"/>
      <c r="D572" s="51"/>
      <c r="E572" s="51"/>
      <c r="F572" s="51"/>
      <c r="G572" s="51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23.25" customHeight="1">
      <c r="A573" s="43" t="s">
        <v>2949</v>
      </c>
      <c r="B573" s="44"/>
      <c r="C573" s="44"/>
      <c r="D573" s="44"/>
      <c r="E573" s="44"/>
      <c r="F573" s="44"/>
      <c r="G573" s="45">
        <f>C574</f>
        <v>100</v>
      </c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23.25" customHeight="1">
      <c r="A574" s="46"/>
      <c r="B574" s="47" t="s">
        <v>2805</v>
      </c>
      <c r="C574" s="48">
        <v>100</v>
      </c>
      <c r="D574" s="44">
        <f>C574*C575/10000</f>
        <v>1</v>
      </c>
      <c r="E574" s="44"/>
      <c r="F574" s="49"/>
      <c r="G574" s="50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23.25" customHeight="1">
      <c r="A575" s="46"/>
      <c r="B575" s="47" t="s">
        <v>2806</v>
      </c>
      <c r="C575" s="48">
        <v>100</v>
      </c>
      <c r="D575" s="44"/>
      <c r="E575" s="44"/>
      <c r="F575" s="44"/>
      <c r="G575" s="50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23.25" customHeight="1">
      <c r="A576" s="51"/>
      <c r="B576" s="52"/>
      <c r="C576" s="52"/>
      <c r="D576" s="52"/>
      <c r="E576" s="52"/>
      <c r="F576" s="52"/>
      <c r="G576" s="52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23.25" customHeight="1">
      <c r="A577" s="54" t="s">
        <v>2927</v>
      </c>
      <c r="B577" s="44"/>
      <c r="C577" s="47" t="s">
        <v>2928</v>
      </c>
      <c r="D577" s="44"/>
      <c r="E577" s="44"/>
      <c r="F577" s="44"/>
      <c r="G577" s="48">
        <f>C574-1</f>
        <v>99</v>
      </c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23.25" customHeight="1">
      <c r="A578" s="54" t="s">
        <v>2929</v>
      </c>
      <c r="B578" s="44"/>
      <c r="C578" s="47" t="s">
        <v>2930</v>
      </c>
      <c r="D578" s="44"/>
      <c r="E578" s="44"/>
      <c r="F578" s="44"/>
      <c r="G578" s="48">
        <f>C575-G584</f>
        <v>84</v>
      </c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23.25" customHeight="1">
      <c r="A579" s="54" t="s">
        <v>2931</v>
      </c>
      <c r="B579" s="44"/>
      <c r="C579" s="47" t="s">
        <v>2932</v>
      </c>
      <c r="D579" s="44"/>
      <c r="E579" s="44"/>
      <c r="F579" s="44"/>
      <c r="G579" s="48">
        <f>C574-12</f>
        <v>88</v>
      </c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23.25" customHeight="1">
      <c r="A580" s="54" t="s">
        <v>2933</v>
      </c>
      <c r="B580" s="44"/>
      <c r="C580" s="47" t="s">
        <v>2934</v>
      </c>
      <c r="D580" s="44"/>
      <c r="E580" s="44"/>
      <c r="F580" s="44"/>
      <c r="G580" s="48">
        <f>G579</f>
        <v>88</v>
      </c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23.25" customHeight="1">
      <c r="A581" s="54" t="s">
        <v>2935</v>
      </c>
      <c r="B581" s="44"/>
      <c r="C581" s="47" t="s">
        <v>2936</v>
      </c>
      <c r="D581" s="44"/>
      <c r="E581" s="44"/>
      <c r="F581" s="44"/>
      <c r="G581" s="48">
        <f>C574-10</f>
        <v>90</v>
      </c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23.25" customHeight="1">
      <c r="A582" s="54" t="s">
        <v>2937</v>
      </c>
      <c r="B582" s="44"/>
      <c r="C582" s="47" t="s">
        <v>2938</v>
      </c>
      <c r="D582" s="44"/>
      <c r="E582" s="44"/>
      <c r="F582" s="44"/>
      <c r="G582" s="48">
        <f>C574/50</f>
        <v>2</v>
      </c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23.25" customHeight="1">
      <c r="A583" s="54" t="s">
        <v>2939</v>
      </c>
      <c r="B583" s="44"/>
      <c r="C583" s="47" t="s">
        <v>2940</v>
      </c>
      <c r="D583" s="44"/>
      <c r="E583" s="44"/>
      <c r="F583" s="44"/>
      <c r="G583" s="59">
        <f>G587</f>
        <v>18.181818181818183</v>
      </c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23.25" customHeight="1">
      <c r="A584" s="54" t="s">
        <v>2941</v>
      </c>
      <c r="B584" s="44"/>
      <c r="C584" s="47" t="s">
        <v>2942</v>
      </c>
      <c r="D584" s="44"/>
      <c r="E584" s="44"/>
      <c r="F584" s="44"/>
      <c r="G584" s="48">
        <f>IF(C575&lt;110, 16, IF(C575&lt;=135, 18, IF(C575&lt;=190, 20, IF(C575&lt;=270, 25, "خارج النطاق"))))</f>
        <v>16</v>
      </c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23.25" customHeight="1">
      <c r="A585" s="54" t="s">
        <v>2943</v>
      </c>
      <c r="B585" s="44"/>
      <c r="C585" s="47" t="s">
        <v>2944</v>
      </c>
      <c r="D585" s="44"/>
      <c r="E585" s="44"/>
      <c r="F585" s="44"/>
      <c r="G585" s="48">
        <f>G584</f>
        <v>16</v>
      </c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23.25" customHeight="1">
      <c r="A586" s="54" t="s">
        <v>2945</v>
      </c>
      <c r="B586" s="44"/>
      <c r="C586" s="44" t="s">
        <v>2946</v>
      </c>
      <c r="D586" s="44"/>
      <c r="E586" s="44"/>
      <c r="F586" s="44"/>
      <c r="G586" s="48">
        <f>IF(D574&lt;2.99,10,IF(D574&lt;=5.99,20,IF(D574&lt;=8.99,30,IF(D574&lt;=11.99,40,IF(D574&lt;=14.99,50,"خارج النطاق")))))</f>
        <v>10</v>
      </c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23.25" customHeight="1">
      <c r="A587" s="54" t="s">
        <v>2947</v>
      </c>
      <c r="B587" s="44"/>
      <c r="C587" s="47" t="s">
        <v>2950</v>
      </c>
      <c r="D587" s="44"/>
      <c r="E587" s="44"/>
      <c r="F587" s="44"/>
      <c r="G587" s="59">
        <f>C575/5.5</f>
        <v>18.181818181818183</v>
      </c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23.25" customHeight="1">
      <c r="A588" s="51"/>
      <c r="B588" s="51"/>
      <c r="C588" s="51"/>
      <c r="D588" s="51"/>
      <c r="E588" s="51"/>
      <c r="F588" s="51"/>
      <c r="G588" s="51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23.25" customHeight="1">
      <c r="A589" s="43" t="s">
        <v>2951</v>
      </c>
      <c r="B589" s="44"/>
      <c r="C589" s="44"/>
      <c r="D589" s="44"/>
      <c r="E589" s="44"/>
      <c r="F589" s="44"/>
      <c r="G589" s="45">
        <f>C590</f>
        <v>100</v>
      </c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23.25" customHeight="1">
      <c r="A590" s="46"/>
      <c r="B590" s="47" t="s">
        <v>2805</v>
      </c>
      <c r="C590" s="48">
        <v>100</v>
      </c>
      <c r="D590" s="44">
        <f>C590*C591/10000</f>
        <v>1</v>
      </c>
      <c r="E590" s="44"/>
      <c r="F590" s="49"/>
      <c r="G590" s="50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23.25" customHeight="1">
      <c r="A591" s="46"/>
      <c r="B591" s="47" t="s">
        <v>2806</v>
      </c>
      <c r="C591" s="48">
        <v>100</v>
      </c>
      <c r="D591" s="44"/>
      <c r="E591" s="44"/>
      <c r="F591" s="44"/>
      <c r="G591" s="50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23.25" customHeight="1">
      <c r="A592" s="51"/>
      <c r="B592" s="52"/>
      <c r="C592" s="52"/>
      <c r="D592" s="52"/>
      <c r="E592" s="52"/>
      <c r="F592" s="52"/>
      <c r="G592" s="52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23.25" customHeight="1">
      <c r="A593" s="54" t="s">
        <v>2927</v>
      </c>
      <c r="B593" s="44"/>
      <c r="C593" s="47" t="s">
        <v>2928</v>
      </c>
      <c r="D593" s="44"/>
      <c r="E593" s="44"/>
      <c r="F593" s="44"/>
      <c r="G593" s="48">
        <f>C590-1</f>
        <v>99</v>
      </c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23.25" customHeight="1">
      <c r="A594" s="54" t="s">
        <v>2929</v>
      </c>
      <c r="B594" s="44"/>
      <c r="C594" s="47" t="s">
        <v>2930</v>
      </c>
      <c r="D594" s="44"/>
      <c r="E594" s="44"/>
      <c r="F594" s="44"/>
      <c r="G594" s="48">
        <f>C591-G600</f>
        <v>82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23.25" customHeight="1">
      <c r="A595" s="54" t="s">
        <v>2931</v>
      </c>
      <c r="B595" s="44"/>
      <c r="C595" s="47" t="s">
        <v>2932</v>
      </c>
      <c r="D595" s="44"/>
      <c r="E595" s="44"/>
      <c r="F595" s="44"/>
      <c r="G595" s="48">
        <f>C590-12</f>
        <v>88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23.25" customHeight="1">
      <c r="A596" s="54" t="s">
        <v>2933</v>
      </c>
      <c r="B596" s="44"/>
      <c r="C596" s="47" t="s">
        <v>2934</v>
      </c>
      <c r="D596" s="44"/>
      <c r="E596" s="44"/>
      <c r="F596" s="44"/>
      <c r="G596" s="48">
        <f>G595</f>
        <v>88</v>
      </c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23.25" customHeight="1">
      <c r="A597" s="54" t="s">
        <v>2935</v>
      </c>
      <c r="B597" s="44"/>
      <c r="C597" s="47" t="s">
        <v>2936</v>
      </c>
      <c r="D597" s="44"/>
      <c r="E597" s="44"/>
      <c r="F597" s="44"/>
      <c r="G597" s="48">
        <f>C590-10</f>
        <v>90</v>
      </c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23.25" customHeight="1">
      <c r="A598" s="54" t="s">
        <v>2937</v>
      </c>
      <c r="B598" s="44"/>
      <c r="C598" s="47" t="s">
        <v>2938</v>
      </c>
      <c r="D598" s="44"/>
      <c r="E598" s="44"/>
      <c r="F598" s="44"/>
      <c r="G598" s="48">
        <f>C590/50</f>
        <v>2</v>
      </c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23.25" customHeight="1">
      <c r="A599" s="54" t="s">
        <v>2939</v>
      </c>
      <c r="B599" s="44"/>
      <c r="C599" s="47" t="s">
        <v>2940</v>
      </c>
      <c r="D599" s="44"/>
      <c r="E599" s="44"/>
      <c r="F599" s="44"/>
      <c r="G599" s="59">
        <f>G603</f>
        <v>20</v>
      </c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23.25" customHeight="1">
      <c r="A600" s="54" t="s">
        <v>2941</v>
      </c>
      <c r="B600" s="44"/>
      <c r="C600" s="47" t="s">
        <v>2942</v>
      </c>
      <c r="D600" s="44"/>
      <c r="E600" s="44"/>
      <c r="F600" s="44"/>
      <c r="G600" s="48">
        <f>IF(C591&lt;100, 16, IF(C591&lt;=125, 18, IF(C591&lt;=180, 20, IF(C591&lt;=260, 25, "خارج النطاق"))))</f>
        <v>18</v>
      </c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23.25" customHeight="1">
      <c r="A601" s="54" t="s">
        <v>2943</v>
      </c>
      <c r="B601" s="44"/>
      <c r="C601" s="47" t="s">
        <v>2944</v>
      </c>
      <c r="D601" s="44"/>
      <c r="E601" s="44"/>
      <c r="F601" s="44"/>
      <c r="G601" s="48">
        <f>G600</f>
        <v>18</v>
      </c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23.25" customHeight="1">
      <c r="A602" s="54" t="s">
        <v>2945</v>
      </c>
      <c r="B602" s="44"/>
      <c r="C602" s="44" t="s">
        <v>2946</v>
      </c>
      <c r="D602" s="44"/>
      <c r="E602" s="44"/>
      <c r="F602" s="44"/>
      <c r="G602" s="48">
        <f>IF(D590&lt;2.99,10,IF(D590&lt;=5.99,20,IF(D590&lt;=8.99,30,IF(D590&lt;=11.99,40,IF(D590&lt;=14.99,50,"خارج النطاق")))))</f>
        <v>10</v>
      </c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23.25" customHeight="1">
      <c r="A603" s="54" t="s">
        <v>2947</v>
      </c>
      <c r="B603" s="44"/>
      <c r="C603" s="47" t="s">
        <v>2948</v>
      </c>
      <c r="D603" s="44"/>
      <c r="E603" s="44"/>
      <c r="F603" s="44"/>
      <c r="G603" s="59">
        <f>C591/5</f>
        <v>20</v>
      </c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23.25" customHeight="1">
      <c r="A604" s="51"/>
      <c r="B604" s="51"/>
      <c r="C604" s="51"/>
      <c r="D604" s="51"/>
      <c r="E604" s="51"/>
      <c r="F604" s="51"/>
      <c r="G604" s="51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23.25" customHeight="1">
      <c r="A605" s="43" t="s">
        <v>2952</v>
      </c>
      <c r="B605" s="44"/>
      <c r="C605" s="44"/>
      <c r="D605" s="44"/>
      <c r="E605" s="44"/>
      <c r="F605" s="44"/>
      <c r="G605" s="45">
        <f>C606</f>
        <v>100</v>
      </c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23.25" customHeight="1">
      <c r="A606" s="46"/>
      <c r="B606" s="47" t="s">
        <v>2805</v>
      </c>
      <c r="C606" s="48">
        <v>100</v>
      </c>
      <c r="D606" s="44">
        <f>C606*C607/10000</f>
        <v>1</v>
      </c>
      <c r="E606" s="44"/>
      <c r="F606" s="49"/>
      <c r="G606" s="50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23.25" customHeight="1">
      <c r="A607" s="46"/>
      <c r="B607" s="47" t="s">
        <v>2806</v>
      </c>
      <c r="C607" s="48">
        <v>100</v>
      </c>
      <c r="D607" s="44"/>
      <c r="E607" s="44"/>
      <c r="F607" s="44"/>
      <c r="G607" s="50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23.25" customHeight="1">
      <c r="A608" s="51"/>
      <c r="B608" s="52"/>
      <c r="C608" s="52"/>
      <c r="D608" s="52"/>
      <c r="E608" s="52"/>
      <c r="F608" s="52"/>
      <c r="G608" s="52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23.25" customHeight="1">
      <c r="A609" s="54" t="s">
        <v>2927</v>
      </c>
      <c r="B609" s="44"/>
      <c r="C609" s="47" t="s">
        <v>2928</v>
      </c>
      <c r="D609" s="44"/>
      <c r="E609" s="44"/>
      <c r="F609" s="44"/>
      <c r="G609" s="48">
        <f>C606-1</f>
        <v>99</v>
      </c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23.25" customHeight="1">
      <c r="A610" s="54" t="s">
        <v>2929</v>
      </c>
      <c r="B610" s="44"/>
      <c r="C610" s="47" t="s">
        <v>2930</v>
      </c>
      <c r="D610" s="44"/>
      <c r="E610" s="44"/>
      <c r="F610" s="44"/>
      <c r="G610" s="48">
        <f>C607-G616</f>
        <v>82</v>
      </c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23.25" customHeight="1">
      <c r="A611" s="54" t="s">
        <v>2931</v>
      </c>
      <c r="B611" s="44"/>
      <c r="C611" s="47" t="s">
        <v>2932</v>
      </c>
      <c r="D611" s="44"/>
      <c r="E611" s="44"/>
      <c r="F611" s="44"/>
      <c r="G611" s="48">
        <f>C606-12</f>
        <v>88</v>
      </c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23.25" customHeight="1">
      <c r="A612" s="54" t="s">
        <v>2933</v>
      </c>
      <c r="B612" s="44"/>
      <c r="C612" s="47" t="s">
        <v>2934</v>
      </c>
      <c r="D612" s="44"/>
      <c r="E612" s="44"/>
      <c r="F612" s="44"/>
      <c r="G612" s="48">
        <f>G611</f>
        <v>88</v>
      </c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23.25" customHeight="1">
      <c r="A613" s="54" t="s">
        <v>2935</v>
      </c>
      <c r="B613" s="44"/>
      <c r="C613" s="47" t="s">
        <v>2936</v>
      </c>
      <c r="D613" s="44"/>
      <c r="E613" s="44"/>
      <c r="F613" s="44"/>
      <c r="G613" s="48">
        <f>C606-10</f>
        <v>90</v>
      </c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23.25" customHeight="1">
      <c r="A614" s="54" t="s">
        <v>2937</v>
      </c>
      <c r="B614" s="44"/>
      <c r="C614" s="47" t="s">
        <v>2938</v>
      </c>
      <c r="D614" s="44"/>
      <c r="E614" s="44"/>
      <c r="F614" s="44"/>
      <c r="G614" s="48">
        <f>C606/50</f>
        <v>2</v>
      </c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23.25" customHeight="1">
      <c r="A615" s="54" t="s">
        <v>2939</v>
      </c>
      <c r="B615" s="44"/>
      <c r="C615" s="47" t="s">
        <v>2940</v>
      </c>
      <c r="D615" s="44"/>
      <c r="E615" s="44"/>
      <c r="F615" s="44"/>
      <c r="G615" s="59">
        <f>G619</f>
        <v>18.181818181818183</v>
      </c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23.25" customHeight="1">
      <c r="A616" s="54" t="s">
        <v>2941</v>
      </c>
      <c r="B616" s="44"/>
      <c r="C616" s="47" t="s">
        <v>2942</v>
      </c>
      <c r="D616" s="44"/>
      <c r="E616" s="44"/>
      <c r="F616" s="44"/>
      <c r="G616" s="48">
        <f>IF(C607&lt;90, 16, IF(C607&lt;=115, 18, IF(C607&lt;=170, 20, IF(C607&lt;=250, 25, "خارج النطاق"))))</f>
        <v>18</v>
      </c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23.25" customHeight="1">
      <c r="A617" s="54" t="s">
        <v>2943</v>
      </c>
      <c r="B617" s="44"/>
      <c r="C617" s="47" t="s">
        <v>2944</v>
      </c>
      <c r="D617" s="44"/>
      <c r="E617" s="44"/>
      <c r="F617" s="44"/>
      <c r="G617" s="48">
        <f>G616</f>
        <v>18</v>
      </c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23.25" customHeight="1">
      <c r="A618" s="54" t="s">
        <v>2945</v>
      </c>
      <c r="B618" s="44"/>
      <c r="C618" s="44" t="s">
        <v>2946</v>
      </c>
      <c r="D618" s="44"/>
      <c r="E618" s="44"/>
      <c r="F618" s="44"/>
      <c r="G618" s="48">
        <f>IF(D606&lt;2.99,10,IF(D606&lt;=5.99,20,IF(D606&lt;=8.99,30,IF(D606&lt;=11.99,40,IF(D606&lt;=14.99,50,"خارج النطاق")))))</f>
        <v>10</v>
      </c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23.25" customHeight="1">
      <c r="A619" s="54" t="s">
        <v>2947</v>
      </c>
      <c r="B619" s="44"/>
      <c r="C619" s="47" t="s">
        <v>2948</v>
      </c>
      <c r="D619" s="44"/>
      <c r="E619" s="44"/>
      <c r="F619" s="44"/>
      <c r="G619" s="59">
        <f>C607/5.5</f>
        <v>18.181818181818183</v>
      </c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23.25" customHeight="1">
      <c r="A620" s="51"/>
      <c r="B620" s="51"/>
      <c r="C620" s="51"/>
      <c r="D620" s="51"/>
      <c r="E620" s="51"/>
      <c r="F620" s="51"/>
      <c r="G620" s="51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23.25" customHeight="1">
      <c r="A621" s="43" t="s">
        <v>2953</v>
      </c>
      <c r="B621" s="44"/>
      <c r="C621" s="44"/>
      <c r="D621" s="44"/>
      <c r="E621" s="44"/>
      <c r="F621" s="44"/>
      <c r="G621" s="45">
        <f>C622</f>
        <v>100</v>
      </c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23.25" customHeight="1">
      <c r="A622" s="46"/>
      <c r="B622" s="47" t="s">
        <v>2805</v>
      </c>
      <c r="C622" s="48">
        <v>100</v>
      </c>
      <c r="D622" s="44">
        <f>C622*C623/10000</f>
        <v>1</v>
      </c>
      <c r="E622" s="44"/>
      <c r="F622" s="49"/>
      <c r="G622" s="50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23.25" customHeight="1">
      <c r="A623" s="46"/>
      <c r="B623" s="47" t="s">
        <v>2806</v>
      </c>
      <c r="C623" s="48">
        <v>100</v>
      </c>
      <c r="D623" s="44"/>
      <c r="E623" s="44"/>
      <c r="F623" s="44"/>
      <c r="G623" s="50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23.25" customHeight="1">
      <c r="A624" s="51"/>
      <c r="B624" s="52"/>
      <c r="C624" s="52"/>
      <c r="D624" s="52"/>
      <c r="E624" s="52"/>
      <c r="F624" s="52"/>
      <c r="G624" s="52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23.25" customHeight="1">
      <c r="A625" s="54" t="s">
        <v>2927</v>
      </c>
      <c r="B625" s="44"/>
      <c r="C625" s="47" t="s">
        <v>2928</v>
      </c>
      <c r="D625" s="44"/>
      <c r="E625" s="44"/>
      <c r="F625" s="44"/>
      <c r="G625" s="48">
        <f>C622-1</f>
        <v>99</v>
      </c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23.25" customHeight="1">
      <c r="A626" s="54" t="s">
        <v>2929</v>
      </c>
      <c r="B626" s="44"/>
      <c r="C626" s="47" t="s">
        <v>2930</v>
      </c>
      <c r="D626" s="44"/>
      <c r="E626" s="44"/>
      <c r="F626" s="44"/>
      <c r="G626" s="48">
        <f>C623-G632</f>
        <v>82</v>
      </c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23.25" customHeight="1">
      <c r="A627" s="54" t="s">
        <v>2931</v>
      </c>
      <c r="B627" s="44"/>
      <c r="C627" s="47" t="s">
        <v>2932</v>
      </c>
      <c r="D627" s="44"/>
      <c r="E627" s="44"/>
      <c r="F627" s="44"/>
      <c r="G627" s="48">
        <f>C622-12</f>
        <v>88</v>
      </c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23.25" customHeight="1">
      <c r="A628" s="54" t="s">
        <v>2933</v>
      </c>
      <c r="B628" s="44"/>
      <c r="C628" s="47" t="s">
        <v>2934</v>
      </c>
      <c r="D628" s="44"/>
      <c r="E628" s="44"/>
      <c r="F628" s="44"/>
      <c r="G628" s="48">
        <f>G627</f>
        <v>88</v>
      </c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23.25" customHeight="1">
      <c r="A629" s="54" t="s">
        <v>2935</v>
      </c>
      <c r="B629" s="44"/>
      <c r="C629" s="47" t="s">
        <v>2936</v>
      </c>
      <c r="D629" s="44"/>
      <c r="E629" s="44"/>
      <c r="F629" s="44"/>
      <c r="G629" s="48">
        <f>C622-10</f>
        <v>90</v>
      </c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23.25" customHeight="1">
      <c r="A630" s="54" t="s">
        <v>2937</v>
      </c>
      <c r="B630" s="44"/>
      <c r="C630" s="47" t="s">
        <v>2954</v>
      </c>
      <c r="D630" s="44"/>
      <c r="E630" s="44"/>
      <c r="F630" s="44"/>
      <c r="G630" s="59">
        <f>C622/35</f>
        <v>2.8571428571428572</v>
      </c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23.25" customHeight="1">
      <c r="A631" s="54" t="s">
        <v>2939</v>
      </c>
      <c r="B631" s="44"/>
      <c r="C631" s="47" t="s">
        <v>2940</v>
      </c>
      <c r="D631" s="44"/>
      <c r="E631" s="44"/>
      <c r="F631" s="44"/>
      <c r="G631" s="59">
        <f>G635</f>
        <v>18.181818181818183</v>
      </c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23.25" customHeight="1">
      <c r="A632" s="54" t="s">
        <v>2941</v>
      </c>
      <c r="B632" s="44"/>
      <c r="C632" s="47" t="s">
        <v>2942</v>
      </c>
      <c r="D632" s="44"/>
      <c r="E632" s="44"/>
      <c r="F632" s="44"/>
      <c r="G632" s="48">
        <f>IF(C623&lt;90, 16, IF(C623&lt;=115, 18, IF(C623&lt;=170, 20, IF(C623&lt;=250, 25, "خارج النطاق"))))</f>
        <v>18</v>
      </c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23.25" customHeight="1">
      <c r="A633" s="54" t="s">
        <v>2943</v>
      </c>
      <c r="B633" s="44"/>
      <c r="C633" s="47" t="s">
        <v>2944</v>
      </c>
      <c r="D633" s="44"/>
      <c r="E633" s="44"/>
      <c r="F633" s="44"/>
      <c r="G633" s="48">
        <f>G632</f>
        <v>18</v>
      </c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23.25" customHeight="1">
      <c r="A634" s="54" t="s">
        <v>2945</v>
      </c>
      <c r="B634" s="44"/>
      <c r="C634" s="44" t="s">
        <v>2946</v>
      </c>
      <c r="D634" s="44"/>
      <c r="E634" s="44"/>
      <c r="F634" s="44"/>
      <c r="G634" s="48">
        <f>IF(D622&lt;1.99,20,IF(D622&lt;=2.99,30,IF(D622&lt;=3.99,40,IF(D622&lt;=4.99,50,IF(D622&lt;=5.99,65,IF(D622&lt;=8.99,85,IF(D622&lt;=9.99,100,IF(D622&lt;=13.99,120,"خارج النطاق"))))))))</f>
        <v>20</v>
      </c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23.25" customHeight="1">
      <c r="A635" s="54" t="s">
        <v>2947</v>
      </c>
      <c r="B635" s="44"/>
      <c r="C635" s="47" t="s">
        <v>2950</v>
      </c>
      <c r="D635" s="44"/>
      <c r="E635" s="44"/>
      <c r="F635" s="44"/>
      <c r="G635" s="59">
        <f>C623/5.5</f>
        <v>18.181818181818183</v>
      </c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23.25" customHeight="1">
      <c r="A636" s="46"/>
      <c r="B636" s="44"/>
      <c r="C636" s="44"/>
      <c r="D636" s="44"/>
      <c r="E636" s="44"/>
      <c r="F636" s="44"/>
      <c r="G636" s="56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23.25" customHeight="1">
      <c r="A637" s="46"/>
      <c r="B637" s="44"/>
      <c r="C637" s="44"/>
      <c r="D637" s="44"/>
      <c r="E637" s="44"/>
      <c r="F637" s="44"/>
      <c r="G637" s="56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23.25" customHeight="1">
      <c r="A638" s="46"/>
      <c r="B638" s="44"/>
      <c r="C638" s="44"/>
      <c r="D638" s="44"/>
      <c r="E638" s="44"/>
      <c r="F638" s="44"/>
      <c r="G638" s="56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23.25" customHeight="1">
      <c r="A639" s="46"/>
      <c r="B639" s="44"/>
      <c r="C639" s="44"/>
      <c r="D639" s="44"/>
      <c r="E639" s="44"/>
      <c r="F639" s="44"/>
      <c r="G639" s="56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23.25" customHeight="1">
      <c r="A640" s="46"/>
      <c r="B640" s="44"/>
      <c r="C640" s="44"/>
      <c r="D640" s="44"/>
      <c r="E640" s="44"/>
      <c r="F640" s="44"/>
      <c r="G640" s="56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23.25" customHeight="1">
      <c r="A641" s="46"/>
      <c r="B641" s="44"/>
      <c r="C641" s="44"/>
      <c r="D641" s="44"/>
      <c r="E641" s="44"/>
      <c r="F641" s="44"/>
      <c r="G641" s="56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23.25" customHeight="1">
      <c r="A642" s="46"/>
      <c r="B642" s="44"/>
      <c r="C642" s="44"/>
      <c r="D642" s="44"/>
      <c r="E642" s="44"/>
      <c r="F642" s="44"/>
      <c r="G642" s="56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23.25" customHeight="1">
      <c r="A643" s="46"/>
      <c r="B643" s="44"/>
      <c r="C643" s="44"/>
      <c r="D643" s="44"/>
      <c r="E643" s="44"/>
      <c r="F643" s="44"/>
      <c r="G643" s="56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23.25" customHeight="1">
      <c r="A644" s="46"/>
      <c r="B644" s="44"/>
      <c r="C644" s="44"/>
      <c r="D644" s="44"/>
      <c r="E644" s="44"/>
      <c r="F644" s="44"/>
      <c r="G644" s="56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23.25" customHeight="1">
      <c r="A645" s="46"/>
      <c r="B645" s="44"/>
      <c r="C645" s="44"/>
      <c r="D645" s="44"/>
      <c r="E645" s="44"/>
      <c r="F645" s="44"/>
      <c r="G645" s="56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23.25" customHeight="1">
      <c r="A646" s="46"/>
      <c r="B646" s="44"/>
      <c r="C646" s="44"/>
      <c r="D646" s="44"/>
      <c r="E646" s="44"/>
      <c r="F646" s="44"/>
      <c r="G646" s="56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23.25" customHeight="1">
      <c r="A647" s="46"/>
      <c r="B647" s="44"/>
      <c r="C647" s="44"/>
      <c r="D647" s="44"/>
      <c r="E647" s="44"/>
      <c r="F647" s="44"/>
      <c r="G647" s="56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23.25" customHeight="1">
      <c r="A648" s="46"/>
      <c r="B648" s="44"/>
      <c r="C648" s="44"/>
      <c r="D648" s="44"/>
      <c r="E648" s="44"/>
      <c r="F648" s="44"/>
      <c r="G648" s="56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23.25" customHeight="1">
      <c r="A649" s="46"/>
      <c r="B649" s="44"/>
      <c r="C649" s="44"/>
      <c r="D649" s="44"/>
      <c r="E649" s="44"/>
      <c r="F649" s="44"/>
      <c r="G649" s="56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23.25" customHeight="1">
      <c r="A650" s="46"/>
      <c r="B650" s="44"/>
      <c r="C650" s="44"/>
      <c r="D650" s="44"/>
      <c r="E650" s="44"/>
      <c r="F650" s="44"/>
      <c r="G650" s="56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23.25" customHeight="1">
      <c r="A651" s="46"/>
      <c r="B651" s="44"/>
      <c r="C651" s="44"/>
      <c r="D651" s="44"/>
      <c r="E651" s="44"/>
      <c r="F651" s="44"/>
      <c r="G651" s="56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23.25" customHeight="1">
      <c r="A652" s="46"/>
      <c r="B652" s="44"/>
      <c r="C652" s="44"/>
      <c r="D652" s="44"/>
      <c r="E652" s="44"/>
      <c r="F652" s="44"/>
      <c r="G652" s="56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23.25" customHeight="1">
      <c r="A653" s="46"/>
      <c r="B653" s="44"/>
      <c r="C653" s="44"/>
      <c r="D653" s="44"/>
      <c r="E653" s="44"/>
      <c r="F653" s="44"/>
      <c r="G653" s="56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23.25" customHeight="1">
      <c r="A654" s="46"/>
      <c r="B654" s="44"/>
      <c r="C654" s="44"/>
      <c r="D654" s="44"/>
      <c r="E654" s="44"/>
      <c r="F654" s="44"/>
      <c r="G654" s="56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23.25" customHeight="1">
      <c r="A655" s="46"/>
      <c r="B655" s="44"/>
      <c r="C655" s="44"/>
      <c r="D655" s="44"/>
      <c r="E655" s="44"/>
      <c r="F655" s="44"/>
      <c r="G655" s="56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23.25" customHeight="1">
      <c r="A656" s="46"/>
      <c r="B656" s="44"/>
      <c r="C656" s="44"/>
      <c r="D656" s="44"/>
      <c r="E656" s="44"/>
      <c r="F656" s="44"/>
      <c r="G656" s="56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23.25" customHeight="1">
      <c r="A657" s="46"/>
      <c r="B657" s="44"/>
      <c r="C657" s="44"/>
      <c r="D657" s="44"/>
      <c r="E657" s="44"/>
      <c r="F657" s="44"/>
      <c r="G657" s="56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23.25" customHeight="1">
      <c r="A658" s="46"/>
      <c r="B658" s="44"/>
      <c r="C658" s="44"/>
      <c r="D658" s="44"/>
      <c r="E658" s="44"/>
      <c r="F658" s="44"/>
      <c r="G658" s="56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23.25" customHeight="1">
      <c r="A659" s="46"/>
      <c r="B659" s="44"/>
      <c r="C659" s="44"/>
      <c r="D659" s="44"/>
      <c r="E659" s="44"/>
      <c r="F659" s="44"/>
      <c r="G659" s="56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23.25" customHeight="1">
      <c r="A660" s="46"/>
      <c r="B660" s="44"/>
      <c r="C660" s="44"/>
      <c r="D660" s="44"/>
      <c r="E660" s="44"/>
      <c r="F660" s="44"/>
      <c r="G660" s="56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23.25" customHeight="1">
      <c r="A661" s="46"/>
      <c r="B661" s="44"/>
      <c r="C661" s="44"/>
      <c r="D661" s="44"/>
      <c r="E661" s="44"/>
      <c r="F661" s="44"/>
      <c r="G661" s="56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23.25" customHeight="1">
      <c r="A662" s="46"/>
      <c r="B662" s="44"/>
      <c r="C662" s="44"/>
      <c r="D662" s="44"/>
      <c r="E662" s="44"/>
      <c r="F662" s="44"/>
      <c r="G662" s="56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23.25" customHeight="1">
      <c r="A663" s="46"/>
      <c r="B663" s="44"/>
      <c r="C663" s="44"/>
      <c r="D663" s="44"/>
      <c r="E663" s="44"/>
      <c r="F663" s="44"/>
      <c r="G663" s="56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23.25" customHeight="1">
      <c r="A664" s="46"/>
      <c r="B664" s="44"/>
      <c r="C664" s="44"/>
      <c r="D664" s="44"/>
      <c r="E664" s="44"/>
      <c r="F664" s="44"/>
      <c r="G664" s="56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23.25" customHeight="1">
      <c r="A665" s="46"/>
      <c r="B665" s="44"/>
      <c r="C665" s="44"/>
      <c r="D665" s="44"/>
      <c r="E665" s="44"/>
      <c r="F665" s="44"/>
      <c r="G665" s="56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23.25" customHeight="1">
      <c r="A666" s="46"/>
      <c r="B666" s="44"/>
      <c r="C666" s="44"/>
      <c r="D666" s="44"/>
      <c r="E666" s="44"/>
      <c r="F666" s="44"/>
      <c r="G666" s="56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23.25" customHeight="1">
      <c r="A667" s="46"/>
      <c r="B667" s="44"/>
      <c r="C667" s="44"/>
      <c r="D667" s="44"/>
      <c r="E667" s="44"/>
      <c r="F667" s="44"/>
      <c r="G667" s="56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23.25" customHeight="1">
      <c r="A668" s="46"/>
      <c r="B668" s="44"/>
      <c r="C668" s="44"/>
      <c r="D668" s="44"/>
      <c r="E668" s="44"/>
      <c r="F668" s="44"/>
      <c r="G668" s="56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23.25" customHeight="1">
      <c r="A669" s="46"/>
      <c r="B669" s="44"/>
      <c r="C669" s="44"/>
      <c r="D669" s="44"/>
      <c r="E669" s="44"/>
      <c r="F669" s="44"/>
      <c r="G669" s="56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23.25" customHeight="1">
      <c r="A670" s="46"/>
      <c r="B670" s="44"/>
      <c r="C670" s="44"/>
      <c r="D670" s="44"/>
      <c r="E670" s="44"/>
      <c r="F670" s="44"/>
      <c r="G670" s="56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23.25" customHeight="1">
      <c r="A671" s="46"/>
      <c r="B671" s="44"/>
      <c r="C671" s="44"/>
      <c r="D671" s="44"/>
      <c r="E671" s="44"/>
      <c r="F671" s="44"/>
      <c r="G671" s="56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23.25" customHeight="1">
      <c r="A672" s="46"/>
      <c r="B672" s="44"/>
      <c r="C672" s="44"/>
      <c r="D672" s="44"/>
      <c r="E672" s="44"/>
      <c r="F672" s="44"/>
      <c r="G672" s="56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23.25" customHeight="1">
      <c r="A673" s="46"/>
      <c r="B673" s="44"/>
      <c r="C673" s="44"/>
      <c r="D673" s="44"/>
      <c r="E673" s="44"/>
      <c r="F673" s="44"/>
      <c r="G673" s="56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23.25" customHeight="1">
      <c r="A674" s="46"/>
      <c r="B674" s="44"/>
      <c r="C674" s="44"/>
      <c r="D674" s="44"/>
      <c r="E674" s="44"/>
      <c r="F674" s="44"/>
      <c r="G674" s="56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23.25" customHeight="1">
      <c r="A675" s="46"/>
      <c r="B675" s="44"/>
      <c r="C675" s="44"/>
      <c r="D675" s="44"/>
      <c r="E675" s="44"/>
      <c r="F675" s="44"/>
      <c r="G675" s="56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23.25" customHeight="1">
      <c r="A676" s="46"/>
      <c r="B676" s="44"/>
      <c r="C676" s="44"/>
      <c r="D676" s="44"/>
      <c r="E676" s="44"/>
      <c r="F676" s="44"/>
      <c r="G676" s="56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23.25" customHeight="1">
      <c r="A677" s="46"/>
      <c r="B677" s="44"/>
      <c r="C677" s="44"/>
      <c r="D677" s="44"/>
      <c r="E677" s="44"/>
      <c r="F677" s="44"/>
      <c r="G677" s="56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23.25" customHeight="1">
      <c r="A678" s="46"/>
      <c r="B678" s="44"/>
      <c r="C678" s="44"/>
      <c r="D678" s="44"/>
      <c r="E678" s="44"/>
      <c r="F678" s="44"/>
      <c r="G678" s="56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23.25" customHeight="1">
      <c r="A679" s="46"/>
      <c r="B679" s="44"/>
      <c r="C679" s="44"/>
      <c r="D679" s="44"/>
      <c r="E679" s="44"/>
      <c r="F679" s="44"/>
      <c r="G679" s="56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23.25" customHeight="1">
      <c r="A680" s="46"/>
      <c r="B680" s="44"/>
      <c r="C680" s="44"/>
      <c r="D680" s="44"/>
      <c r="E680" s="44"/>
      <c r="F680" s="44"/>
      <c r="G680" s="56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23.25" customHeight="1">
      <c r="A681" s="46"/>
      <c r="B681" s="44"/>
      <c r="C681" s="44"/>
      <c r="D681" s="44"/>
      <c r="E681" s="44"/>
      <c r="F681" s="44"/>
      <c r="G681" s="56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23.25" customHeight="1">
      <c r="A682" s="46"/>
      <c r="B682" s="44"/>
      <c r="C682" s="44"/>
      <c r="D682" s="44"/>
      <c r="E682" s="44"/>
      <c r="F682" s="44"/>
      <c r="G682" s="56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23.25" customHeight="1">
      <c r="A683" s="46"/>
      <c r="B683" s="44"/>
      <c r="C683" s="44"/>
      <c r="D683" s="44"/>
      <c r="E683" s="44"/>
      <c r="F683" s="44"/>
      <c r="G683" s="56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23.25" customHeight="1">
      <c r="A684" s="46"/>
      <c r="B684" s="44"/>
      <c r="C684" s="44"/>
      <c r="D684" s="44"/>
      <c r="E684" s="44"/>
      <c r="F684" s="44"/>
      <c r="G684" s="56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23.25" customHeight="1">
      <c r="A685" s="46"/>
      <c r="B685" s="44"/>
      <c r="C685" s="44"/>
      <c r="D685" s="44"/>
      <c r="E685" s="44"/>
      <c r="F685" s="44"/>
      <c r="G685" s="56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23.25" customHeight="1">
      <c r="A686" s="46"/>
      <c r="B686" s="44"/>
      <c r="C686" s="44"/>
      <c r="D686" s="44"/>
      <c r="E686" s="44"/>
      <c r="F686" s="44"/>
      <c r="G686" s="56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23.25" customHeight="1">
      <c r="A687" s="46"/>
      <c r="B687" s="44"/>
      <c r="C687" s="44"/>
      <c r="D687" s="44"/>
      <c r="E687" s="44"/>
      <c r="F687" s="44"/>
      <c r="G687" s="56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23.25" customHeight="1">
      <c r="A688" s="46"/>
      <c r="B688" s="44"/>
      <c r="C688" s="44"/>
      <c r="D688" s="44"/>
      <c r="E688" s="44"/>
      <c r="F688" s="44"/>
      <c r="G688" s="56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23.25" customHeight="1">
      <c r="A689" s="46"/>
      <c r="B689" s="44"/>
      <c r="C689" s="44"/>
      <c r="D689" s="44"/>
      <c r="E689" s="44"/>
      <c r="F689" s="44"/>
      <c r="G689" s="56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23.25" customHeight="1">
      <c r="A690" s="46"/>
      <c r="B690" s="44"/>
      <c r="C690" s="44"/>
      <c r="D690" s="44"/>
      <c r="E690" s="44"/>
      <c r="F690" s="44"/>
      <c r="G690" s="56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23.25" customHeight="1">
      <c r="A691" s="46"/>
      <c r="B691" s="44"/>
      <c r="C691" s="44"/>
      <c r="D691" s="44"/>
      <c r="E691" s="44"/>
      <c r="F691" s="44"/>
      <c r="G691" s="56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23.25" customHeight="1">
      <c r="A692" s="46"/>
      <c r="B692" s="44"/>
      <c r="C692" s="44"/>
      <c r="D692" s="44"/>
      <c r="E692" s="44"/>
      <c r="F692" s="44"/>
      <c r="G692" s="56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23.25" customHeight="1">
      <c r="A693" s="46"/>
      <c r="B693" s="44"/>
      <c r="C693" s="44"/>
      <c r="D693" s="44"/>
      <c r="E693" s="44"/>
      <c r="F693" s="44"/>
      <c r="G693" s="56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23.25" customHeight="1">
      <c r="A694" s="46"/>
      <c r="B694" s="44"/>
      <c r="C694" s="44"/>
      <c r="D694" s="44"/>
      <c r="E694" s="44"/>
      <c r="F694" s="44"/>
      <c r="G694" s="56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23.25" customHeight="1">
      <c r="A695" s="46"/>
      <c r="B695" s="44"/>
      <c r="C695" s="44"/>
      <c r="D695" s="44"/>
      <c r="E695" s="44"/>
      <c r="F695" s="44"/>
      <c r="G695" s="56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23.25" customHeight="1">
      <c r="A696" s="46"/>
      <c r="B696" s="44"/>
      <c r="C696" s="44"/>
      <c r="D696" s="44"/>
      <c r="E696" s="44"/>
      <c r="F696" s="44"/>
      <c r="G696" s="56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23.25" customHeight="1">
      <c r="A697" s="46"/>
      <c r="B697" s="44"/>
      <c r="C697" s="44"/>
      <c r="D697" s="44"/>
      <c r="E697" s="44"/>
      <c r="F697" s="44"/>
      <c r="G697" s="56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23.25" customHeight="1">
      <c r="A698" s="46"/>
      <c r="B698" s="44"/>
      <c r="C698" s="44"/>
      <c r="D698" s="44"/>
      <c r="E698" s="44"/>
      <c r="F698" s="44"/>
      <c r="G698" s="56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23.25" customHeight="1">
      <c r="A699" s="46"/>
      <c r="B699" s="44"/>
      <c r="C699" s="44"/>
      <c r="D699" s="44"/>
      <c r="E699" s="44"/>
      <c r="F699" s="44"/>
      <c r="G699" s="56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23.25" customHeight="1">
      <c r="A700" s="46"/>
      <c r="B700" s="44"/>
      <c r="C700" s="44"/>
      <c r="D700" s="44"/>
      <c r="E700" s="44"/>
      <c r="F700" s="44"/>
      <c r="G700" s="56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23.25" customHeight="1">
      <c r="A701" s="46"/>
      <c r="B701" s="44"/>
      <c r="C701" s="44"/>
      <c r="D701" s="44"/>
      <c r="E701" s="44"/>
      <c r="F701" s="44"/>
      <c r="G701" s="56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23.25" customHeight="1">
      <c r="A702" s="46"/>
      <c r="B702" s="44"/>
      <c r="C702" s="44"/>
      <c r="D702" s="44"/>
      <c r="E702" s="44"/>
      <c r="F702" s="44"/>
      <c r="G702" s="56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23.25" customHeight="1">
      <c r="A703" s="46"/>
      <c r="B703" s="44"/>
      <c r="C703" s="44"/>
      <c r="D703" s="44"/>
      <c r="E703" s="44"/>
      <c r="F703" s="44"/>
      <c r="G703" s="56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23.25" customHeight="1">
      <c r="A704" s="46"/>
      <c r="B704" s="44"/>
      <c r="C704" s="44"/>
      <c r="D704" s="44"/>
      <c r="E704" s="44"/>
      <c r="F704" s="44"/>
      <c r="G704" s="56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3.25" customHeight="1">
      <c r="A705" s="46"/>
      <c r="B705" s="44"/>
      <c r="C705" s="44"/>
      <c r="D705" s="44"/>
      <c r="E705" s="44"/>
      <c r="F705" s="44"/>
      <c r="G705" s="56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23.25" customHeight="1">
      <c r="A706" s="46"/>
      <c r="B706" s="44"/>
      <c r="C706" s="44"/>
      <c r="D706" s="44"/>
      <c r="E706" s="44"/>
      <c r="F706" s="44"/>
      <c r="G706" s="56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23.25" customHeight="1">
      <c r="A707" s="46"/>
      <c r="B707" s="44"/>
      <c r="C707" s="44"/>
      <c r="D707" s="44"/>
      <c r="E707" s="44"/>
      <c r="F707" s="44"/>
      <c r="G707" s="56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23.25" customHeight="1">
      <c r="A708" s="46"/>
      <c r="B708" s="44"/>
      <c r="C708" s="44"/>
      <c r="D708" s="44"/>
      <c r="E708" s="44"/>
      <c r="F708" s="44"/>
      <c r="G708" s="56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23.25" customHeight="1">
      <c r="A709" s="46"/>
      <c r="B709" s="44"/>
      <c r="C709" s="44"/>
      <c r="D709" s="44"/>
      <c r="E709" s="44"/>
      <c r="F709" s="44"/>
      <c r="G709" s="56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23.25" customHeight="1">
      <c r="A710" s="46"/>
      <c r="B710" s="44"/>
      <c r="C710" s="44"/>
      <c r="D710" s="44"/>
      <c r="E710" s="44"/>
      <c r="F710" s="44"/>
      <c r="G710" s="56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23.25" customHeight="1">
      <c r="A711" s="46"/>
      <c r="B711" s="44"/>
      <c r="C711" s="44"/>
      <c r="D711" s="44"/>
      <c r="E711" s="44"/>
      <c r="F711" s="44"/>
      <c r="G711" s="56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23.25" customHeight="1">
      <c r="A712" s="46"/>
      <c r="B712" s="44"/>
      <c r="C712" s="44"/>
      <c r="D712" s="44"/>
      <c r="E712" s="44"/>
      <c r="F712" s="44"/>
      <c r="G712" s="56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23.25" customHeight="1">
      <c r="A713" s="46"/>
      <c r="B713" s="44"/>
      <c r="C713" s="44"/>
      <c r="D713" s="44"/>
      <c r="E713" s="44"/>
      <c r="F713" s="44"/>
      <c r="G713" s="56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23.25" customHeight="1">
      <c r="A714" s="46"/>
      <c r="B714" s="44"/>
      <c r="C714" s="44"/>
      <c r="D714" s="44"/>
      <c r="E714" s="44"/>
      <c r="F714" s="44"/>
      <c r="G714" s="56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23.25" customHeight="1">
      <c r="A715" s="46"/>
      <c r="B715" s="44"/>
      <c r="C715" s="44"/>
      <c r="D715" s="44"/>
      <c r="E715" s="44"/>
      <c r="F715" s="44"/>
      <c r="G715" s="56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23.25" customHeight="1">
      <c r="A716" s="46"/>
      <c r="B716" s="44"/>
      <c r="C716" s="44"/>
      <c r="D716" s="44"/>
      <c r="E716" s="44"/>
      <c r="F716" s="44"/>
      <c r="G716" s="56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23.25" customHeight="1">
      <c r="A717" s="46"/>
      <c r="B717" s="44"/>
      <c r="C717" s="44"/>
      <c r="D717" s="44"/>
      <c r="E717" s="44"/>
      <c r="F717" s="44"/>
      <c r="G717" s="56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23.25" customHeight="1">
      <c r="A718" s="46"/>
      <c r="B718" s="44"/>
      <c r="C718" s="44"/>
      <c r="D718" s="44"/>
      <c r="E718" s="44"/>
      <c r="F718" s="44"/>
      <c r="G718" s="56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23.25" customHeight="1">
      <c r="A719" s="46"/>
      <c r="B719" s="44"/>
      <c r="C719" s="44"/>
      <c r="D719" s="44"/>
      <c r="E719" s="44"/>
      <c r="F719" s="44"/>
      <c r="G719" s="56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23.25" customHeight="1">
      <c r="A720" s="46"/>
      <c r="B720" s="44"/>
      <c r="C720" s="44"/>
      <c r="D720" s="44"/>
      <c r="E720" s="44"/>
      <c r="F720" s="44"/>
      <c r="G720" s="56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23.25" customHeight="1">
      <c r="A721" s="46"/>
      <c r="B721" s="44"/>
      <c r="C721" s="44"/>
      <c r="D721" s="44"/>
      <c r="E721" s="44"/>
      <c r="F721" s="44"/>
      <c r="G721" s="56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23.25" customHeight="1">
      <c r="A722" s="46"/>
      <c r="B722" s="44"/>
      <c r="C722" s="44"/>
      <c r="D722" s="44"/>
      <c r="E722" s="44"/>
      <c r="F722" s="44"/>
      <c r="G722" s="56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23.25" customHeight="1">
      <c r="A723" s="46"/>
      <c r="B723" s="44"/>
      <c r="C723" s="44"/>
      <c r="D723" s="44"/>
      <c r="E723" s="44"/>
      <c r="F723" s="44"/>
      <c r="G723" s="56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23.25" customHeight="1">
      <c r="A724" s="46"/>
      <c r="B724" s="44"/>
      <c r="C724" s="44"/>
      <c r="D724" s="44"/>
      <c r="E724" s="44"/>
      <c r="F724" s="44"/>
      <c r="G724" s="56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23.25" customHeight="1">
      <c r="A725" s="46"/>
      <c r="B725" s="44"/>
      <c r="C725" s="44"/>
      <c r="D725" s="44"/>
      <c r="E725" s="44"/>
      <c r="F725" s="44"/>
      <c r="G725" s="56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23.25" customHeight="1">
      <c r="A726" s="46"/>
      <c r="B726" s="44"/>
      <c r="C726" s="44"/>
      <c r="D726" s="44"/>
      <c r="E726" s="44"/>
      <c r="F726" s="44"/>
      <c r="G726" s="56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23.25" customHeight="1">
      <c r="A727" s="46"/>
      <c r="B727" s="44"/>
      <c r="C727" s="44"/>
      <c r="D727" s="44"/>
      <c r="E727" s="44"/>
      <c r="F727" s="44"/>
      <c r="G727" s="56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23.25" customHeight="1">
      <c r="A728" s="46"/>
      <c r="B728" s="44"/>
      <c r="C728" s="44"/>
      <c r="D728" s="44"/>
      <c r="E728" s="44"/>
      <c r="F728" s="44"/>
      <c r="G728" s="56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23.25" customHeight="1">
      <c r="A729" s="46"/>
      <c r="B729" s="44"/>
      <c r="C729" s="44"/>
      <c r="D729" s="44"/>
      <c r="E729" s="44"/>
      <c r="F729" s="44"/>
      <c r="G729" s="56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23.25" customHeight="1">
      <c r="A730" s="46"/>
      <c r="B730" s="44"/>
      <c r="C730" s="44"/>
      <c r="D730" s="44"/>
      <c r="E730" s="44"/>
      <c r="F730" s="44"/>
      <c r="G730" s="56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23.25" customHeight="1">
      <c r="A731" s="46"/>
      <c r="B731" s="44"/>
      <c r="C731" s="44"/>
      <c r="D731" s="44"/>
      <c r="E731" s="44"/>
      <c r="F731" s="44"/>
      <c r="G731" s="56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23.25" customHeight="1">
      <c r="A732" s="46"/>
      <c r="B732" s="44"/>
      <c r="C732" s="44"/>
      <c r="D732" s="44"/>
      <c r="E732" s="44"/>
      <c r="F732" s="44"/>
      <c r="G732" s="56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23.25" customHeight="1">
      <c r="A733" s="46"/>
      <c r="B733" s="44"/>
      <c r="C733" s="44"/>
      <c r="D733" s="44"/>
      <c r="E733" s="44"/>
      <c r="F733" s="44"/>
      <c r="G733" s="56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23.25" customHeight="1">
      <c r="A734" s="46"/>
      <c r="B734" s="44"/>
      <c r="C734" s="44"/>
      <c r="D734" s="44"/>
      <c r="E734" s="44"/>
      <c r="F734" s="44"/>
      <c r="G734" s="56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23.25" customHeight="1">
      <c r="A735" s="46"/>
      <c r="B735" s="44"/>
      <c r="C735" s="44"/>
      <c r="D735" s="44"/>
      <c r="E735" s="44"/>
      <c r="F735" s="44"/>
      <c r="G735" s="56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23.25" customHeight="1">
      <c r="A736" s="46"/>
      <c r="B736" s="44"/>
      <c r="C736" s="44"/>
      <c r="D736" s="44"/>
      <c r="E736" s="44"/>
      <c r="F736" s="44"/>
      <c r="G736" s="56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23.25" customHeight="1">
      <c r="A737" s="46"/>
      <c r="B737" s="44"/>
      <c r="C737" s="44"/>
      <c r="D737" s="44"/>
      <c r="E737" s="44"/>
      <c r="F737" s="44"/>
      <c r="G737" s="56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23.25" customHeight="1">
      <c r="A738" s="46"/>
      <c r="B738" s="44"/>
      <c r="C738" s="44"/>
      <c r="D738" s="44"/>
      <c r="E738" s="44"/>
      <c r="F738" s="44"/>
      <c r="G738" s="56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23.25" customHeight="1">
      <c r="A739" s="46"/>
      <c r="B739" s="44"/>
      <c r="C739" s="44"/>
      <c r="D739" s="44"/>
      <c r="E739" s="44"/>
      <c r="F739" s="44"/>
      <c r="G739" s="56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23.25" customHeight="1">
      <c r="A740" s="46"/>
      <c r="B740" s="44"/>
      <c r="C740" s="44"/>
      <c r="D740" s="44"/>
      <c r="E740" s="44"/>
      <c r="F740" s="44"/>
      <c r="G740" s="56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23.25" customHeight="1">
      <c r="A741" s="46"/>
      <c r="B741" s="44"/>
      <c r="C741" s="44"/>
      <c r="D741" s="44"/>
      <c r="E741" s="44"/>
      <c r="F741" s="44"/>
      <c r="G741" s="56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23.25" customHeight="1">
      <c r="A742" s="46"/>
      <c r="B742" s="44"/>
      <c r="C742" s="44"/>
      <c r="D742" s="44"/>
      <c r="E742" s="44"/>
      <c r="F742" s="44"/>
      <c r="G742" s="56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23.25" customHeight="1">
      <c r="A743" s="46"/>
      <c r="B743" s="44"/>
      <c r="C743" s="44"/>
      <c r="D743" s="44"/>
      <c r="E743" s="44"/>
      <c r="F743" s="44"/>
      <c r="G743" s="56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23.25" customHeight="1">
      <c r="A744" s="46"/>
      <c r="B744" s="44"/>
      <c r="C744" s="44"/>
      <c r="D744" s="44"/>
      <c r="E744" s="44"/>
      <c r="F744" s="44"/>
      <c r="G744" s="56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23.25" customHeight="1">
      <c r="A745" s="46"/>
      <c r="B745" s="44"/>
      <c r="C745" s="44"/>
      <c r="D745" s="44"/>
      <c r="E745" s="44"/>
      <c r="F745" s="44"/>
      <c r="G745" s="56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23.25" customHeight="1">
      <c r="A746" s="46"/>
      <c r="B746" s="44"/>
      <c r="C746" s="44"/>
      <c r="D746" s="44"/>
      <c r="E746" s="44"/>
      <c r="F746" s="44"/>
      <c r="G746" s="56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23.25" customHeight="1">
      <c r="A747" s="46"/>
      <c r="B747" s="44"/>
      <c r="C747" s="44"/>
      <c r="D747" s="44"/>
      <c r="E747" s="44"/>
      <c r="F747" s="44"/>
      <c r="G747" s="56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23.25" customHeight="1">
      <c r="A748" s="46"/>
      <c r="B748" s="44"/>
      <c r="C748" s="44"/>
      <c r="D748" s="44"/>
      <c r="E748" s="44"/>
      <c r="F748" s="44"/>
      <c r="G748" s="56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23.25" customHeight="1">
      <c r="A749" s="46"/>
      <c r="B749" s="44"/>
      <c r="C749" s="44"/>
      <c r="D749" s="44"/>
      <c r="E749" s="44"/>
      <c r="F749" s="44"/>
      <c r="G749" s="56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23.25" customHeight="1">
      <c r="A750" s="46"/>
      <c r="B750" s="44"/>
      <c r="C750" s="44"/>
      <c r="D750" s="44"/>
      <c r="E750" s="44"/>
      <c r="F750" s="44"/>
      <c r="G750" s="56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23.25" customHeight="1">
      <c r="A751" s="46"/>
      <c r="B751" s="44"/>
      <c r="C751" s="44"/>
      <c r="D751" s="44"/>
      <c r="E751" s="44"/>
      <c r="F751" s="44"/>
      <c r="G751" s="56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23.25" customHeight="1">
      <c r="A752" s="46"/>
      <c r="B752" s="44"/>
      <c r="C752" s="44"/>
      <c r="D752" s="44"/>
      <c r="E752" s="44"/>
      <c r="F752" s="44"/>
      <c r="G752" s="56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23.25" customHeight="1">
      <c r="A753" s="46"/>
      <c r="B753" s="44"/>
      <c r="C753" s="44"/>
      <c r="D753" s="44"/>
      <c r="E753" s="44"/>
      <c r="F753" s="44"/>
      <c r="G753" s="56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23.25" customHeight="1">
      <c r="A754" s="46"/>
      <c r="B754" s="44"/>
      <c r="C754" s="44"/>
      <c r="D754" s="44"/>
      <c r="E754" s="44"/>
      <c r="F754" s="44"/>
      <c r="G754" s="56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23.25" customHeight="1">
      <c r="A755" s="46"/>
      <c r="B755" s="44"/>
      <c r="C755" s="44"/>
      <c r="D755" s="44"/>
      <c r="E755" s="44"/>
      <c r="F755" s="44"/>
      <c r="G755" s="56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23.25" customHeight="1">
      <c r="A756" s="46"/>
      <c r="B756" s="44"/>
      <c r="C756" s="44"/>
      <c r="D756" s="44"/>
      <c r="E756" s="44"/>
      <c r="F756" s="44"/>
      <c r="G756" s="56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23.25" customHeight="1">
      <c r="A757" s="46"/>
      <c r="B757" s="44"/>
      <c r="C757" s="44"/>
      <c r="D757" s="44"/>
      <c r="E757" s="44"/>
      <c r="F757" s="44"/>
      <c r="G757" s="56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23.25" customHeight="1">
      <c r="A758" s="46"/>
      <c r="B758" s="44"/>
      <c r="C758" s="44"/>
      <c r="D758" s="44"/>
      <c r="E758" s="44"/>
      <c r="F758" s="44"/>
      <c r="G758" s="56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23.25" customHeight="1">
      <c r="A759" s="46"/>
      <c r="B759" s="44"/>
      <c r="C759" s="44"/>
      <c r="D759" s="44"/>
      <c r="E759" s="44"/>
      <c r="F759" s="44"/>
      <c r="G759" s="56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23.25" customHeight="1">
      <c r="A760" s="46"/>
      <c r="B760" s="44"/>
      <c r="C760" s="44"/>
      <c r="D760" s="44"/>
      <c r="E760" s="44"/>
      <c r="F760" s="44"/>
      <c r="G760" s="56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23.25" customHeight="1">
      <c r="A761" s="46"/>
      <c r="B761" s="44"/>
      <c r="C761" s="44"/>
      <c r="D761" s="44"/>
      <c r="E761" s="44"/>
      <c r="F761" s="44"/>
      <c r="G761" s="56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23.25" customHeight="1">
      <c r="A762" s="46"/>
      <c r="B762" s="44"/>
      <c r="C762" s="44"/>
      <c r="D762" s="44"/>
      <c r="E762" s="44"/>
      <c r="F762" s="44"/>
      <c r="G762" s="56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23.25" customHeight="1">
      <c r="A763" s="46"/>
      <c r="B763" s="44"/>
      <c r="C763" s="44"/>
      <c r="D763" s="44"/>
      <c r="E763" s="44"/>
      <c r="F763" s="44"/>
      <c r="G763" s="56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23.25" customHeight="1">
      <c r="A764" s="46"/>
      <c r="B764" s="44"/>
      <c r="C764" s="44"/>
      <c r="D764" s="44"/>
      <c r="E764" s="44"/>
      <c r="F764" s="44"/>
      <c r="G764" s="56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23.25" customHeight="1">
      <c r="A765" s="46"/>
      <c r="B765" s="44"/>
      <c r="C765" s="44"/>
      <c r="D765" s="44"/>
      <c r="E765" s="44"/>
      <c r="F765" s="44"/>
      <c r="G765" s="56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23.25" customHeight="1">
      <c r="A766" s="46"/>
      <c r="B766" s="44"/>
      <c r="C766" s="44"/>
      <c r="D766" s="44"/>
      <c r="E766" s="44"/>
      <c r="F766" s="44"/>
      <c r="G766" s="56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23.25" customHeight="1">
      <c r="A767" s="46"/>
      <c r="B767" s="44"/>
      <c r="C767" s="44"/>
      <c r="D767" s="44"/>
      <c r="E767" s="44"/>
      <c r="F767" s="44"/>
      <c r="G767" s="56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23.25" customHeight="1">
      <c r="A768" s="46"/>
      <c r="B768" s="44"/>
      <c r="C768" s="44"/>
      <c r="D768" s="44"/>
      <c r="E768" s="44"/>
      <c r="F768" s="44"/>
      <c r="G768" s="56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23.25" customHeight="1">
      <c r="A769" s="46"/>
      <c r="B769" s="44"/>
      <c r="C769" s="44"/>
      <c r="D769" s="44"/>
      <c r="E769" s="44"/>
      <c r="F769" s="44"/>
      <c r="G769" s="56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23.25" customHeight="1">
      <c r="A770" s="46"/>
      <c r="B770" s="44"/>
      <c r="C770" s="44"/>
      <c r="D770" s="44"/>
      <c r="E770" s="44"/>
      <c r="F770" s="44"/>
      <c r="G770" s="56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23.25" customHeight="1">
      <c r="A771" s="46"/>
      <c r="B771" s="44"/>
      <c r="C771" s="44"/>
      <c r="D771" s="44"/>
      <c r="E771" s="44"/>
      <c r="F771" s="44"/>
      <c r="G771" s="56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23.25" customHeight="1">
      <c r="A772" s="46"/>
      <c r="B772" s="44"/>
      <c r="C772" s="44"/>
      <c r="D772" s="44"/>
      <c r="E772" s="44"/>
      <c r="F772" s="44"/>
      <c r="G772" s="56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23.25" customHeight="1">
      <c r="A773" s="46"/>
      <c r="B773" s="44"/>
      <c r="C773" s="44"/>
      <c r="D773" s="44"/>
      <c r="E773" s="44"/>
      <c r="F773" s="44"/>
      <c r="G773" s="56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23.25" customHeight="1">
      <c r="A774" s="46"/>
      <c r="B774" s="44"/>
      <c r="C774" s="44"/>
      <c r="D774" s="44"/>
      <c r="E774" s="44"/>
      <c r="F774" s="44"/>
      <c r="G774" s="56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23.25" customHeight="1">
      <c r="A775" s="46"/>
      <c r="B775" s="44"/>
      <c r="C775" s="44"/>
      <c r="D775" s="44"/>
      <c r="E775" s="44"/>
      <c r="F775" s="44"/>
      <c r="G775" s="56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23.25" customHeight="1">
      <c r="A776" s="46"/>
      <c r="B776" s="44"/>
      <c r="C776" s="44"/>
      <c r="D776" s="44"/>
      <c r="E776" s="44"/>
      <c r="F776" s="44"/>
      <c r="G776" s="56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23.25" customHeight="1">
      <c r="A777" s="46"/>
      <c r="B777" s="44"/>
      <c r="C777" s="44"/>
      <c r="D777" s="44"/>
      <c r="E777" s="44"/>
      <c r="F777" s="44"/>
      <c r="G777" s="56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23.25" customHeight="1">
      <c r="A778" s="46"/>
      <c r="B778" s="44"/>
      <c r="C778" s="44"/>
      <c r="D778" s="44"/>
      <c r="E778" s="44"/>
      <c r="F778" s="44"/>
      <c r="G778" s="56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23.25" customHeight="1">
      <c r="A779" s="46"/>
      <c r="B779" s="44"/>
      <c r="C779" s="44"/>
      <c r="D779" s="44"/>
      <c r="E779" s="44"/>
      <c r="F779" s="44"/>
      <c r="G779" s="56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23.25" customHeight="1">
      <c r="A780" s="46"/>
      <c r="B780" s="44"/>
      <c r="C780" s="44"/>
      <c r="D780" s="44"/>
      <c r="E780" s="44"/>
      <c r="F780" s="44"/>
      <c r="G780" s="56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23.25" customHeight="1">
      <c r="A781" s="46"/>
      <c r="B781" s="44"/>
      <c r="C781" s="44"/>
      <c r="D781" s="44"/>
      <c r="E781" s="44"/>
      <c r="F781" s="44"/>
      <c r="G781" s="56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23.25" customHeight="1">
      <c r="A782" s="46"/>
      <c r="B782" s="44"/>
      <c r="C782" s="44"/>
      <c r="D782" s="44"/>
      <c r="E782" s="44"/>
      <c r="F782" s="44"/>
      <c r="G782" s="56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23.25" customHeight="1">
      <c r="A783" s="46"/>
      <c r="B783" s="44"/>
      <c r="C783" s="44"/>
      <c r="D783" s="44"/>
      <c r="E783" s="44"/>
      <c r="F783" s="44"/>
      <c r="G783" s="56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23.25" customHeight="1">
      <c r="A784" s="46"/>
      <c r="B784" s="44"/>
      <c r="C784" s="44"/>
      <c r="D784" s="44"/>
      <c r="E784" s="44"/>
      <c r="F784" s="44"/>
      <c r="G784" s="56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23.25" customHeight="1">
      <c r="A785" s="46"/>
      <c r="B785" s="44"/>
      <c r="C785" s="44"/>
      <c r="D785" s="44"/>
      <c r="E785" s="44"/>
      <c r="F785" s="44"/>
      <c r="G785" s="56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23.25" customHeight="1">
      <c r="A786" s="46"/>
      <c r="B786" s="44"/>
      <c r="C786" s="44"/>
      <c r="D786" s="44"/>
      <c r="E786" s="44"/>
      <c r="F786" s="44"/>
      <c r="G786" s="56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23.25" customHeight="1">
      <c r="A787" s="46"/>
      <c r="B787" s="44"/>
      <c r="C787" s="44"/>
      <c r="D787" s="44"/>
      <c r="E787" s="44"/>
      <c r="F787" s="44"/>
      <c r="G787" s="56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23.25" customHeight="1">
      <c r="A788" s="46"/>
      <c r="B788" s="44"/>
      <c r="C788" s="44"/>
      <c r="D788" s="44"/>
      <c r="E788" s="44"/>
      <c r="F788" s="44"/>
      <c r="G788" s="56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23.25" customHeight="1">
      <c r="A789" s="46"/>
      <c r="B789" s="44"/>
      <c r="C789" s="44"/>
      <c r="D789" s="44"/>
      <c r="E789" s="44"/>
      <c r="F789" s="44"/>
      <c r="G789" s="56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23.25" customHeight="1">
      <c r="A790" s="46"/>
      <c r="B790" s="44"/>
      <c r="C790" s="44"/>
      <c r="D790" s="44"/>
      <c r="E790" s="44"/>
      <c r="F790" s="44"/>
      <c r="G790" s="56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23.25" customHeight="1">
      <c r="A791" s="46"/>
      <c r="B791" s="44"/>
      <c r="C791" s="44"/>
      <c r="D791" s="44"/>
      <c r="E791" s="44"/>
      <c r="F791" s="44"/>
      <c r="G791" s="56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23.25" customHeight="1">
      <c r="A792" s="46"/>
      <c r="B792" s="44"/>
      <c r="C792" s="44"/>
      <c r="D792" s="44"/>
      <c r="E792" s="44"/>
      <c r="F792" s="44"/>
      <c r="G792" s="56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23.25" customHeight="1">
      <c r="A793" s="46"/>
      <c r="B793" s="44"/>
      <c r="C793" s="44"/>
      <c r="D793" s="44"/>
      <c r="E793" s="44"/>
      <c r="F793" s="44"/>
      <c r="G793" s="56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23.25" customHeight="1">
      <c r="A794" s="46"/>
      <c r="B794" s="44"/>
      <c r="C794" s="44"/>
      <c r="D794" s="44"/>
      <c r="E794" s="44"/>
      <c r="F794" s="44"/>
      <c r="G794" s="56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23.25" customHeight="1">
      <c r="A795" s="46"/>
      <c r="B795" s="44"/>
      <c r="C795" s="44"/>
      <c r="D795" s="44"/>
      <c r="E795" s="44"/>
      <c r="F795" s="44"/>
      <c r="G795" s="56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23.25" customHeight="1">
      <c r="A796" s="46"/>
      <c r="B796" s="44"/>
      <c r="C796" s="44"/>
      <c r="D796" s="44"/>
      <c r="E796" s="44"/>
      <c r="F796" s="44"/>
      <c r="G796" s="56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23.25" customHeight="1">
      <c r="A797" s="46"/>
      <c r="B797" s="44"/>
      <c r="C797" s="44"/>
      <c r="D797" s="44"/>
      <c r="E797" s="44"/>
      <c r="F797" s="44"/>
      <c r="G797" s="56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23.25" customHeight="1">
      <c r="A798" s="46"/>
      <c r="B798" s="44"/>
      <c r="C798" s="44"/>
      <c r="D798" s="44"/>
      <c r="E798" s="44"/>
      <c r="F798" s="44"/>
      <c r="G798" s="56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23.25" customHeight="1">
      <c r="A799" s="46"/>
      <c r="B799" s="44"/>
      <c r="C799" s="44"/>
      <c r="D799" s="44"/>
      <c r="E799" s="44"/>
      <c r="F799" s="44"/>
      <c r="G799" s="56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23.25" customHeight="1">
      <c r="A800" s="46"/>
      <c r="B800" s="44"/>
      <c r="C800" s="44"/>
      <c r="D800" s="44"/>
      <c r="E800" s="44"/>
      <c r="F800" s="44"/>
      <c r="G800" s="56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23.25" customHeight="1">
      <c r="A801" s="46"/>
      <c r="B801" s="44"/>
      <c r="C801" s="44"/>
      <c r="D801" s="44"/>
      <c r="E801" s="44"/>
      <c r="F801" s="44"/>
      <c r="G801" s="56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23.25" customHeight="1">
      <c r="A802" s="46"/>
      <c r="B802" s="44"/>
      <c r="C802" s="44"/>
      <c r="D802" s="44"/>
      <c r="E802" s="44"/>
      <c r="F802" s="44"/>
      <c r="G802" s="56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23.25" customHeight="1">
      <c r="A803" s="46"/>
      <c r="B803" s="44"/>
      <c r="C803" s="44"/>
      <c r="D803" s="44"/>
      <c r="E803" s="44"/>
      <c r="F803" s="44"/>
      <c r="G803" s="56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23.25" customHeight="1">
      <c r="A804" s="46"/>
      <c r="B804" s="44"/>
      <c r="C804" s="44"/>
      <c r="D804" s="44"/>
      <c r="E804" s="44"/>
      <c r="F804" s="44"/>
      <c r="G804" s="56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23.25" customHeight="1">
      <c r="A805" s="46"/>
      <c r="B805" s="44"/>
      <c r="C805" s="44"/>
      <c r="D805" s="44"/>
      <c r="E805" s="44"/>
      <c r="F805" s="44"/>
      <c r="G805" s="56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23.25" customHeight="1">
      <c r="A806" s="46"/>
      <c r="B806" s="44"/>
      <c r="C806" s="44"/>
      <c r="D806" s="44"/>
      <c r="E806" s="44"/>
      <c r="F806" s="44"/>
      <c r="G806" s="56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23.25" customHeight="1">
      <c r="A807" s="46"/>
      <c r="B807" s="44"/>
      <c r="C807" s="44"/>
      <c r="D807" s="44"/>
      <c r="E807" s="44"/>
      <c r="F807" s="44"/>
      <c r="G807" s="56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23.25" customHeight="1">
      <c r="A808" s="46"/>
      <c r="B808" s="44"/>
      <c r="C808" s="44"/>
      <c r="D808" s="44"/>
      <c r="E808" s="44"/>
      <c r="F808" s="44"/>
      <c r="G808" s="56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23.25" customHeight="1">
      <c r="A809" s="46"/>
      <c r="B809" s="44"/>
      <c r="C809" s="44"/>
      <c r="D809" s="44"/>
      <c r="E809" s="44"/>
      <c r="F809" s="44"/>
      <c r="G809" s="56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23.25" customHeight="1">
      <c r="A810" s="46"/>
      <c r="B810" s="44"/>
      <c r="C810" s="44"/>
      <c r="D810" s="44"/>
      <c r="E810" s="44"/>
      <c r="F810" s="44"/>
      <c r="G810" s="56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23.25" customHeight="1">
      <c r="A811" s="46"/>
      <c r="B811" s="44"/>
      <c r="C811" s="44"/>
      <c r="D811" s="44"/>
      <c r="E811" s="44"/>
      <c r="F811" s="44"/>
      <c r="G811" s="56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23.25" customHeight="1">
      <c r="A812" s="46"/>
      <c r="B812" s="44"/>
      <c r="C812" s="44"/>
      <c r="D812" s="44"/>
      <c r="E812" s="44"/>
      <c r="F812" s="44"/>
      <c r="G812" s="56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23.25" customHeight="1">
      <c r="A813" s="46"/>
      <c r="B813" s="44"/>
      <c r="C813" s="44"/>
      <c r="D813" s="44"/>
      <c r="E813" s="44"/>
      <c r="F813" s="44"/>
      <c r="G813" s="56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23.25" customHeight="1">
      <c r="A814" s="46"/>
      <c r="B814" s="44"/>
      <c r="C814" s="44"/>
      <c r="D814" s="44"/>
      <c r="E814" s="44"/>
      <c r="F814" s="44"/>
      <c r="G814" s="56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23.25" customHeight="1">
      <c r="A815" s="46"/>
      <c r="B815" s="44"/>
      <c r="C815" s="44"/>
      <c r="D815" s="44"/>
      <c r="E815" s="44"/>
      <c r="F815" s="44"/>
      <c r="G815" s="56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23.25" customHeight="1">
      <c r="A816" s="46"/>
      <c r="B816" s="44"/>
      <c r="C816" s="44"/>
      <c r="D816" s="44"/>
      <c r="E816" s="44"/>
      <c r="F816" s="44"/>
      <c r="G816" s="56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23.25" customHeight="1">
      <c r="A817" s="46"/>
      <c r="B817" s="44"/>
      <c r="C817" s="44"/>
      <c r="D817" s="44"/>
      <c r="E817" s="44"/>
      <c r="F817" s="44"/>
      <c r="G817" s="56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23.25" customHeight="1">
      <c r="A818" s="46"/>
      <c r="B818" s="44"/>
      <c r="C818" s="44"/>
      <c r="D818" s="44"/>
      <c r="E818" s="44"/>
      <c r="F818" s="44"/>
      <c r="G818" s="56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23.25" customHeight="1">
      <c r="A819" s="46"/>
      <c r="B819" s="44"/>
      <c r="C819" s="44"/>
      <c r="D819" s="44"/>
      <c r="E819" s="44"/>
      <c r="F819" s="44"/>
      <c r="G819" s="56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23.25" customHeight="1">
      <c r="A820" s="46"/>
      <c r="B820" s="44"/>
      <c r="C820" s="44"/>
      <c r="D820" s="44"/>
      <c r="E820" s="44"/>
      <c r="F820" s="44"/>
      <c r="G820" s="56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23.25" customHeight="1">
      <c r="A821" s="46"/>
      <c r="B821" s="44"/>
      <c r="C821" s="44"/>
      <c r="D821" s="44"/>
      <c r="E821" s="44"/>
      <c r="F821" s="44"/>
      <c r="G821" s="56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23.25" customHeight="1">
      <c r="A822" s="46"/>
      <c r="B822" s="44"/>
      <c r="C822" s="44"/>
      <c r="D822" s="44"/>
      <c r="E822" s="44"/>
      <c r="F822" s="44"/>
      <c r="G822" s="56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23.25" customHeight="1">
      <c r="A823" s="46"/>
      <c r="B823" s="44"/>
      <c r="C823" s="44"/>
      <c r="D823" s="44"/>
      <c r="E823" s="44"/>
      <c r="F823" s="44"/>
      <c r="G823" s="56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23.25" customHeight="1">
      <c r="A824" s="46"/>
      <c r="B824" s="44"/>
      <c r="C824" s="44"/>
      <c r="D824" s="44"/>
      <c r="E824" s="44"/>
      <c r="F824" s="44"/>
      <c r="G824" s="56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23.25" customHeight="1">
      <c r="A825" s="46"/>
      <c r="B825" s="44"/>
      <c r="C825" s="44"/>
      <c r="D825" s="44"/>
      <c r="E825" s="44"/>
      <c r="F825" s="44"/>
      <c r="G825" s="56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23.25" customHeight="1">
      <c r="A826" s="46"/>
      <c r="B826" s="44"/>
      <c r="C826" s="44"/>
      <c r="D826" s="44"/>
      <c r="E826" s="44"/>
      <c r="F826" s="44"/>
      <c r="G826" s="56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23.25" customHeight="1">
      <c r="A827" s="46"/>
      <c r="B827" s="44"/>
      <c r="C827" s="44"/>
      <c r="D827" s="44"/>
      <c r="E827" s="44"/>
      <c r="F827" s="44"/>
      <c r="G827" s="56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23.25" customHeight="1">
      <c r="A828" s="46"/>
      <c r="B828" s="44"/>
      <c r="C828" s="44"/>
      <c r="D828" s="44"/>
      <c r="E828" s="44"/>
      <c r="F828" s="44"/>
      <c r="G828" s="56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23.25" customHeight="1">
      <c r="A829" s="46"/>
      <c r="B829" s="44"/>
      <c r="C829" s="44"/>
      <c r="D829" s="44"/>
      <c r="E829" s="44"/>
      <c r="F829" s="44"/>
      <c r="G829" s="56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23.25" customHeight="1">
      <c r="A830" s="46"/>
      <c r="B830" s="44"/>
      <c r="C830" s="44"/>
      <c r="D830" s="44"/>
      <c r="E830" s="44"/>
      <c r="F830" s="44"/>
      <c r="G830" s="56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23.25" customHeight="1">
      <c r="A831" s="46"/>
      <c r="B831" s="44"/>
      <c r="C831" s="44"/>
      <c r="D831" s="44"/>
      <c r="E831" s="44"/>
      <c r="F831" s="44"/>
      <c r="G831" s="56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23.25" customHeight="1">
      <c r="A832" s="46"/>
      <c r="B832" s="44"/>
      <c r="C832" s="44"/>
      <c r="D832" s="44"/>
      <c r="E832" s="44"/>
      <c r="F832" s="44"/>
      <c r="G832" s="56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23.25" customHeight="1">
      <c r="A833" s="46"/>
      <c r="B833" s="44"/>
      <c r="C833" s="44"/>
      <c r="D833" s="44"/>
      <c r="E833" s="44"/>
      <c r="F833" s="44"/>
      <c r="G833" s="56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23.25" customHeight="1">
      <c r="A834" s="46"/>
      <c r="B834" s="44"/>
      <c r="C834" s="44"/>
      <c r="D834" s="44"/>
      <c r="E834" s="44"/>
      <c r="F834" s="44"/>
      <c r="G834" s="56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23.25" customHeight="1">
      <c r="A835" s="46"/>
      <c r="B835" s="44"/>
      <c r="C835" s="44"/>
      <c r="D835" s="44"/>
      <c r="E835" s="44"/>
      <c r="F835" s="44"/>
      <c r="G835" s="56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23.25" customHeight="1">
      <c r="A836" s="46"/>
      <c r="B836" s="44"/>
      <c r="C836" s="44"/>
      <c r="D836" s="44"/>
      <c r="E836" s="44"/>
      <c r="F836" s="44"/>
      <c r="G836" s="56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23.25" customHeight="1">
      <c r="A837" s="46"/>
      <c r="B837" s="44"/>
      <c r="C837" s="44"/>
      <c r="D837" s="44"/>
      <c r="E837" s="44"/>
      <c r="F837" s="44"/>
      <c r="G837" s="56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23.25" customHeight="1">
      <c r="A838" s="46"/>
      <c r="B838" s="44"/>
      <c r="C838" s="44"/>
      <c r="D838" s="44"/>
      <c r="E838" s="44"/>
      <c r="F838" s="44"/>
      <c r="G838" s="56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23.25" customHeight="1">
      <c r="A839" s="46"/>
      <c r="B839" s="44"/>
      <c r="C839" s="44"/>
      <c r="D839" s="44"/>
      <c r="E839" s="44"/>
      <c r="F839" s="44"/>
      <c r="G839" s="56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23.25" customHeight="1">
      <c r="A840" s="46"/>
      <c r="B840" s="44"/>
      <c r="C840" s="44"/>
      <c r="D840" s="44"/>
      <c r="E840" s="44"/>
      <c r="F840" s="44"/>
      <c r="G840" s="56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23.25" customHeight="1">
      <c r="A841" s="46"/>
      <c r="B841" s="44"/>
      <c r="C841" s="44"/>
      <c r="D841" s="44"/>
      <c r="E841" s="44"/>
      <c r="F841" s="44"/>
      <c r="G841" s="56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23.25" customHeight="1">
      <c r="A842" s="46"/>
      <c r="B842" s="44"/>
      <c r="C842" s="44"/>
      <c r="D842" s="44"/>
      <c r="E842" s="44"/>
      <c r="F842" s="44"/>
      <c r="G842" s="56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23.25" customHeight="1">
      <c r="A843" s="46"/>
      <c r="B843" s="44"/>
      <c r="C843" s="44"/>
      <c r="D843" s="44"/>
      <c r="E843" s="44"/>
      <c r="F843" s="44"/>
      <c r="G843" s="56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23.25" customHeight="1">
      <c r="A844" s="46"/>
      <c r="B844" s="44"/>
      <c r="C844" s="44"/>
      <c r="D844" s="44"/>
      <c r="E844" s="44"/>
      <c r="F844" s="44"/>
      <c r="G844" s="56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23.25" customHeight="1">
      <c r="A845" s="46"/>
      <c r="B845" s="44"/>
      <c r="C845" s="44"/>
      <c r="D845" s="44"/>
      <c r="E845" s="44"/>
      <c r="F845" s="44"/>
      <c r="G845" s="56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23.25" customHeight="1">
      <c r="A846" s="46"/>
      <c r="B846" s="44"/>
      <c r="C846" s="44"/>
      <c r="D846" s="44"/>
      <c r="E846" s="44"/>
      <c r="F846" s="44"/>
      <c r="G846" s="56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23.25" customHeight="1">
      <c r="A847" s="46"/>
      <c r="B847" s="44"/>
      <c r="C847" s="44"/>
      <c r="D847" s="44"/>
      <c r="E847" s="44"/>
      <c r="F847" s="44"/>
      <c r="G847" s="56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23.25" customHeight="1">
      <c r="A848" s="46"/>
      <c r="B848" s="44"/>
      <c r="C848" s="44"/>
      <c r="D848" s="44"/>
      <c r="E848" s="44"/>
      <c r="F848" s="44"/>
      <c r="G848" s="56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23.25" customHeight="1">
      <c r="A849" s="46"/>
      <c r="B849" s="44"/>
      <c r="C849" s="44"/>
      <c r="D849" s="44"/>
      <c r="E849" s="44"/>
      <c r="F849" s="44"/>
      <c r="G849" s="56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23.25" customHeight="1">
      <c r="A850" s="46"/>
      <c r="B850" s="44"/>
      <c r="C850" s="44"/>
      <c r="D850" s="44"/>
      <c r="E850" s="44"/>
      <c r="F850" s="44"/>
      <c r="G850" s="56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23.25" customHeight="1">
      <c r="A851" s="46"/>
      <c r="B851" s="44"/>
      <c r="C851" s="44"/>
      <c r="D851" s="44"/>
      <c r="E851" s="44"/>
      <c r="F851" s="44"/>
      <c r="G851" s="56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23.25" customHeight="1">
      <c r="A852" s="46"/>
      <c r="B852" s="44"/>
      <c r="C852" s="44"/>
      <c r="D852" s="44"/>
      <c r="E852" s="44"/>
      <c r="F852" s="44"/>
      <c r="G852" s="56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23.25" customHeight="1">
      <c r="A853" s="46"/>
      <c r="B853" s="44"/>
      <c r="C853" s="44"/>
      <c r="D853" s="44"/>
      <c r="E853" s="44"/>
      <c r="F853" s="44"/>
      <c r="G853" s="56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23.25" customHeight="1">
      <c r="A854" s="46"/>
      <c r="B854" s="44"/>
      <c r="C854" s="44"/>
      <c r="D854" s="44"/>
      <c r="E854" s="44"/>
      <c r="F854" s="44"/>
      <c r="G854" s="56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23.25" customHeight="1">
      <c r="A855" s="46"/>
      <c r="B855" s="44"/>
      <c r="C855" s="44"/>
      <c r="D855" s="44"/>
      <c r="E855" s="44"/>
      <c r="F855" s="44"/>
      <c r="G855" s="56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23.25" customHeight="1">
      <c r="A856" s="46"/>
      <c r="B856" s="44"/>
      <c r="C856" s="44"/>
      <c r="D856" s="44"/>
      <c r="E856" s="44"/>
      <c r="F856" s="44"/>
      <c r="G856" s="56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23.25" customHeight="1">
      <c r="A857" s="46"/>
      <c r="B857" s="44"/>
      <c r="C857" s="44"/>
      <c r="D857" s="44"/>
      <c r="E857" s="44"/>
      <c r="F857" s="44"/>
      <c r="G857" s="56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23.25" customHeight="1">
      <c r="A858" s="46"/>
      <c r="B858" s="44"/>
      <c r="C858" s="44"/>
      <c r="D858" s="44"/>
      <c r="E858" s="44"/>
      <c r="F858" s="44"/>
      <c r="G858" s="56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23.25" customHeight="1">
      <c r="A859" s="46"/>
      <c r="B859" s="44"/>
      <c r="C859" s="44"/>
      <c r="D859" s="44"/>
      <c r="E859" s="44"/>
      <c r="F859" s="44"/>
      <c r="G859" s="56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23.25" customHeight="1">
      <c r="A860" s="46"/>
      <c r="B860" s="44"/>
      <c r="C860" s="44"/>
      <c r="D860" s="44"/>
      <c r="E860" s="44"/>
      <c r="F860" s="44"/>
      <c r="G860" s="56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23.25" customHeight="1">
      <c r="A861" s="46"/>
      <c r="B861" s="44"/>
      <c r="C861" s="44"/>
      <c r="D861" s="44"/>
      <c r="E861" s="44"/>
      <c r="F861" s="44"/>
      <c r="G861" s="56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23.25" customHeight="1">
      <c r="A862" s="46"/>
      <c r="B862" s="44"/>
      <c r="C862" s="44"/>
      <c r="D862" s="44"/>
      <c r="E862" s="44"/>
      <c r="F862" s="44"/>
      <c r="G862" s="56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23.25" customHeight="1">
      <c r="A863" s="46"/>
      <c r="B863" s="44"/>
      <c r="C863" s="44"/>
      <c r="D863" s="44"/>
      <c r="E863" s="44"/>
      <c r="F863" s="44"/>
      <c r="G863" s="56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23.25" customHeight="1">
      <c r="A864" s="46"/>
      <c r="B864" s="44"/>
      <c r="C864" s="44"/>
      <c r="D864" s="44"/>
      <c r="E864" s="44"/>
      <c r="F864" s="44"/>
      <c r="G864" s="56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23.25" customHeight="1">
      <c r="A865" s="46"/>
      <c r="B865" s="44"/>
      <c r="C865" s="44"/>
      <c r="D865" s="44"/>
      <c r="E865" s="44"/>
      <c r="F865" s="44"/>
      <c r="G865" s="56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23.25" customHeight="1">
      <c r="A866" s="46"/>
      <c r="B866" s="44"/>
      <c r="C866" s="44"/>
      <c r="D866" s="44"/>
      <c r="E866" s="44"/>
      <c r="F866" s="44"/>
      <c r="G866" s="56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23.25" customHeight="1">
      <c r="A867" s="46"/>
      <c r="B867" s="44"/>
      <c r="C867" s="44"/>
      <c r="D867" s="44"/>
      <c r="E867" s="44"/>
      <c r="F867" s="44"/>
      <c r="G867" s="56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23.25" customHeight="1">
      <c r="A868" s="46"/>
      <c r="B868" s="44"/>
      <c r="C868" s="44"/>
      <c r="D868" s="44"/>
      <c r="E868" s="44"/>
      <c r="F868" s="44"/>
      <c r="G868" s="56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23.25" customHeight="1">
      <c r="A869" s="46"/>
      <c r="B869" s="44"/>
      <c r="C869" s="44"/>
      <c r="D869" s="44"/>
      <c r="E869" s="44"/>
      <c r="F869" s="44"/>
      <c r="G869" s="56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23.25" customHeight="1">
      <c r="A870" s="46"/>
      <c r="B870" s="44"/>
      <c r="C870" s="44"/>
      <c r="D870" s="44"/>
      <c r="E870" s="44"/>
      <c r="F870" s="44"/>
      <c r="G870" s="56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23.25" customHeight="1">
      <c r="A871" s="46"/>
      <c r="B871" s="44"/>
      <c r="C871" s="44"/>
      <c r="D871" s="44"/>
      <c r="E871" s="44"/>
      <c r="F871" s="44"/>
      <c r="G871" s="56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23.25" customHeight="1">
      <c r="A872" s="46"/>
      <c r="B872" s="44"/>
      <c r="C872" s="44"/>
      <c r="D872" s="44"/>
      <c r="E872" s="44"/>
      <c r="F872" s="44"/>
      <c r="G872" s="56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23.25" customHeight="1">
      <c r="A873" s="46"/>
      <c r="B873" s="44"/>
      <c r="C873" s="44"/>
      <c r="D873" s="44"/>
      <c r="E873" s="44"/>
      <c r="F873" s="44"/>
      <c r="G873" s="56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23.25" customHeight="1">
      <c r="A874" s="46"/>
      <c r="B874" s="44"/>
      <c r="C874" s="44"/>
      <c r="D874" s="44"/>
      <c r="E874" s="44"/>
      <c r="F874" s="44"/>
      <c r="G874" s="56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23.25" customHeight="1">
      <c r="A875" s="46"/>
      <c r="B875" s="44"/>
      <c r="C875" s="44"/>
      <c r="D875" s="44"/>
      <c r="E875" s="44"/>
      <c r="F875" s="44"/>
      <c r="G875" s="56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23.25" customHeight="1">
      <c r="A876" s="46"/>
      <c r="B876" s="44"/>
      <c r="C876" s="44"/>
      <c r="D876" s="44"/>
      <c r="E876" s="44"/>
      <c r="F876" s="44"/>
      <c r="G876" s="56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23.25" customHeight="1">
      <c r="A877" s="46"/>
      <c r="B877" s="44"/>
      <c r="C877" s="44"/>
      <c r="D877" s="44"/>
      <c r="E877" s="44"/>
      <c r="F877" s="44"/>
      <c r="G877" s="56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23.25" customHeight="1">
      <c r="A878" s="46"/>
      <c r="B878" s="44"/>
      <c r="C878" s="44"/>
      <c r="D878" s="44"/>
      <c r="E878" s="44"/>
      <c r="F878" s="44"/>
      <c r="G878" s="56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23.25" customHeight="1">
      <c r="A879" s="46"/>
      <c r="B879" s="44"/>
      <c r="C879" s="44"/>
      <c r="D879" s="44"/>
      <c r="E879" s="44"/>
      <c r="F879" s="44"/>
      <c r="G879" s="56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23.25" customHeight="1">
      <c r="A880" s="46"/>
      <c r="B880" s="44"/>
      <c r="C880" s="44"/>
      <c r="D880" s="44"/>
      <c r="E880" s="44"/>
      <c r="F880" s="44"/>
      <c r="G880" s="56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23.25" customHeight="1">
      <c r="A881" s="46"/>
      <c r="B881" s="44"/>
      <c r="C881" s="44"/>
      <c r="D881" s="44"/>
      <c r="E881" s="44"/>
      <c r="F881" s="44"/>
      <c r="G881" s="56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23.25" customHeight="1">
      <c r="A882" s="46"/>
      <c r="B882" s="44"/>
      <c r="C882" s="44"/>
      <c r="D882" s="44"/>
      <c r="E882" s="44"/>
      <c r="F882" s="44"/>
      <c r="G882" s="56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23.25" customHeight="1">
      <c r="A883" s="46"/>
      <c r="B883" s="44"/>
      <c r="C883" s="44"/>
      <c r="D883" s="44"/>
      <c r="E883" s="44"/>
      <c r="F883" s="44"/>
      <c r="G883" s="56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23.25" customHeight="1">
      <c r="A884" s="46"/>
      <c r="B884" s="44"/>
      <c r="C884" s="44"/>
      <c r="D884" s="44"/>
      <c r="E884" s="44"/>
      <c r="F884" s="44"/>
      <c r="G884" s="56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23.25" customHeight="1">
      <c r="A885" s="46"/>
      <c r="B885" s="44"/>
      <c r="C885" s="44"/>
      <c r="D885" s="44"/>
      <c r="E885" s="44"/>
      <c r="F885" s="44"/>
      <c r="G885" s="56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23.25" customHeight="1">
      <c r="A886" s="46"/>
      <c r="B886" s="44"/>
      <c r="C886" s="44"/>
      <c r="D886" s="44"/>
      <c r="E886" s="44"/>
      <c r="F886" s="44"/>
      <c r="G886" s="56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23.25" customHeight="1">
      <c r="A887" s="46"/>
      <c r="B887" s="44"/>
      <c r="C887" s="44"/>
      <c r="D887" s="44"/>
      <c r="E887" s="44"/>
      <c r="F887" s="44"/>
      <c r="G887" s="56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23.25" customHeight="1">
      <c r="A888" s="46"/>
      <c r="B888" s="44"/>
      <c r="C888" s="44"/>
      <c r="D888" s="44"/>
      <c r="E888" s="44"/>
      <c r="F888" s="44"/>
      <c r="G888" s="56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23.25" customHeight="1">
      <c r="A889" s="46"/>
      <c r="B889" s="44"/>
      <c r="C889" s="44"/>
      <c r="D889" s="44"/>
      <c r="E889" s="44"/>
      <c r="F889" s="44"/>
      <c r="G889" s="56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23.25" customHeight="1">
      <c r="A890" s="46"/>
      <c r="B890" s="44"/>
      <c r="C890" s="44"/>
      <c r="D890" s="44"/>
      <c r="E890" s="44"/>
      <c r="F890" s="44"/>
      <c r="G890" s="56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23.25" customHeight="1">
      <c r="A891" s="46"/>
      <c r="B891" s="44"/>
      <c r="C891" s="44"/>
      <c r="D891" s="44"/>
      <c r="E891" s="44"/>
      <c r="F891" s="44"/>
      <c r="G891" s="56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23.25" customHeight="1">
      <c r="A892" s="46"/>
      <c r="B892" s="44"/>
      <c r="C892" s="44"/>
      <c r="D892" s="44"/>
      <c r="E892" s="44"/>
      <c r="F892" s="44"/>
      <c r="G892" s="56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23.25" customHeight="1">
      <c r="A893" s="46"/>
      <c r="B893" s="44"/>
      <c r="C893" s="44"/>
      <c r="D893" s="44"/>
      <c r="E893" s="44"/>
      <c r="F893" s="44"/>
      <c r="G893" s="56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23.25" customHeight="1">
      <c r="A894" s="46"/>
      <c r="B894" s="44"/>
      <c r="C894" s="44"/>
      <c r="D894" s="44"/>
      <c r="E894" s="44"/>
      <c r="F894" s="44"/>
      <c r="G894" s="56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23.25" customHeight="1">
      <c r="A895" s="46"/>
      <c r="B895" s="44"/>
      <c r="C895" s="44"/>
      <c r="D895" s="44"/>
      <c r="E895" s="44"/>
      <c r="F895" s="44"/>
      <c r="G895" s="56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23.25" customHeight="1">
      <c r="A896" s="46"/>
      <c r="B896" s="44"/>
      <c r="C896" s="44"/>
      <c r="D896" s="44"/>
      <c r="E896" s="44"/>
      <c r="F896" s="44"/>
      <c r="G896" s="56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23.25" customHeight="1">
      <c r="A897" s="46"/>
      <c r="B897" s="44"/>
      <c r="C897" s="44"/>
      <c r="D897" s="44"/>
      <c r="E897" s="44"/>
      <c r="F897" s="44"/>
      <c r="G897" s="56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23.25" customHeight="1">
      <c r="A898" s="46"/>
      <c r="B898" s="44"/>
      <c r="C898" s="44"/>
      <c r="D898" s="44"/>
      <c r="E898" s="44"/>
      <c r="F898" s="44"/>
      <c r="G898" s="56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23.25" customHeight="1">
      <c r="A899" s="46"/>
      <c r="B899" s="44"/>
      <c r="C899" s="44"/>
      <c r="D899" s="44"/>
      <c r="E899" s="44"/>
      <c r="F899" s="44"/>
      <c r="G899" s="56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23.25" customHeight="1">
      <c r="A900" s="46"/>
      <c r="B900" s="44"/>
      <c r="C900" s="44"/>
      <c r="D900" s="44"/>
      <c r="E900" s="44"/>
      <c r="F900" s="44"/>
      <c r="G900" s="56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23.25" customHeight="1">
      <c r="A901" s="46"/>
      <c r="B901" s="44"/>
      <c r="C901" s="44"/>
      <c r="D901" s="44"/>
      <c r="E901" s="44"/>
      <c r="F901" s="44"/>
      <c r="G901" s="56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23.25" customHeight="1">
      <c r="A902" s="46"/>
      <c r="B902" s="44"/>
      <c r="C902" s="44"/>
      <c r="D902" s="44"/>
      <c r="E902" s="44"/>
      <c r="F902" s="44"/>
      <c r="G902" s="56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23.25" customHeight="1">
      <c r="A903" s="46"/>
      <c r="B903" s="44"/>
      <c r="C903" s="44"/>
      <c r="D903" s="44"/>
      <c r="E903" s="44"/>
      <c r="F903" s="44"/>
      <c r="G903" s="56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23.25" customHeight="1">
      <c r="A904" s="46"/>
      <c r="B904" s="44"/>
      <c r="C904" s="44"/>
      <c r="D904" s="44"/>
      <c r="E904" s="44"/>
      <c r="F904" s="44"/>
      <c r="G904" s="56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23.25" customHeight="1">
      <c r="A905" s="46"/>
      <c r="B905" s="44"/>
      <c r="C905" s="44"/>
      <c r="D905" s="44"/>
      <c r="E905" s="44"/>
      <c r="F905" s="44"/>
      <c r="G905" s="56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23.25" customHeight="1">
      <c r="A906" s="46"/>
      <c r="B906" s="44"/>
      <c r="C906" s="44"/>
      <c r="D906" s="44"/>
      <c r="E906" s="44"/>
      <c r="F906" s="44"/>
      <c r="G906" s="56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23.25" customHeight="1">
      <c r="A907" s="46"/>
      <c r="B907" s="44"/>
      <c r="C907" s="44"/>
      <c r="D907" s="44"/>
      <c r="E907" s="44"/>
      <c r="F907" s="44"/>
      <c r="G907" s="56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23.25" customHeight="1">
      <c r="A908" s="46"/>
      <c r="B908" s="44"/>
      <c r="C908" s="44"/>
      <c r="D908" s="44"/>
      <c r="E908" s="44"/>
      <c r="F908" s="44"/>
      <c r="G908" s="56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23.25" customHeight="1">
      <c r="A909" s="46"/>
      <c r="B909" s="44"/>
      <c r="C909" s="44"/>
      <c r="D909" s="44"/>
      <c r="E909" s="44"/>
      <c r="F909" s="44"/>
      <c r="G909" s="56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23.25" customHeight="1">
      <c r="A910" s="46"/>
      <c r="B910" s="44"/>
      <c r="C910" s="44"/>
      <c r="D910" s="44"/>
      <c r="E910" s="44"/>
      <c r="F910" s="44"/>
      <c r="G910" s="56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23.25" customHeight="1">
      <c r="A911" s="46"/>
      <c r="B911" s="44"/>
      <c r="C911" s="44"/>
      <c r="D911" s="44"/>
      <c r="E911" s="44"/>
      <c r="F911" s="44"/>
      <c r="G911" s="56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23.25" customHeight="1">
      <c r="A912" s="46"/>
      <c r="B912" s="44"/>
      <c r="C912" s="44"/>
      <c r="D912" s="44"/>
      <c r="E912" s="44"/>
      <c r="F912" s="44"/>
      <c r="G912" s="56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23.25" customHeight="1">
      <c r="A913" s="46"/>
      <c r="B913" s="44"/>
      <c r="C913" s="44"/>
      <c r="D913" s="44"/>
      <c r="E913" s="44"/>
      <c r="F913" s="44"/>
      <c r="G913" s="56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23.25" customHeight="1">
      <c r="A914" s="46"/>
      <c r="B914" s="44"/>
      <c r="C914" s="44"/>
      <c r="D914" s="44"/>
      <c r="E914" s="44"/>
      <c r="F914" s="44"/>
      <c r="G914" s="56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23.25" customHeight="1">
      <c r="A915" s="46"/>
      <c r="B915" s="44"/>
      <c r="C915" s="44"/>
      <c r="D915" s="44"/>
      <c r="E915" s="44"/>
      <c r="F915" s="44"/>
      <c r="G915" s="56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23.25" customHeight="1">
      <c r="A916" s="46"/>
      <c r="B916" s="44"/>
      <c r="C916" s="44"/>
      <c r="D916" s="44"/>
      <c r="E916" s="44"/>
      <c r="F916" s="44"/>
      <c r="G916" s="56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23.25" customHeight="1">
      <c r="A917" s="46"/>
      <c r="B917" s="44"/>
      <c r="C917" s="44"/>
      <c r="D917" s="44"/>
      <c r="E917" s="44"/>
      <c r="F917" s="44"/>
      <c r="G917" s="56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23.25" customHeight="1">
      <c r="A918" s="46"/>
      <c r="B918" s="44"/>
      <c r="C918" s="44"/>
      <c r="D918" s="44"/>
      <c r="E918" s="44"/>
      <c r="F918" s="44"/>
      <c r="G918" s="56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23.25" customHeight="1">
      <c r="A919" s="46"/>
      <c r="B919" s="44"/>
      <c r="C919" s="44"/>
      <c r="D919" s="44"/>
      <c r="E919" s="44"/>
      <c r="F919" s="44"/>
      <c r="G919" s="56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23.25" customHeight="1">
      <c r="A920" s="46"/>
      <c r="B920" s="44"/>
      <c r="C920" s="44"/>
      <c r="D920" s="44"/>
      <c r="E920" s="44"/>
      <c r="F920" s="44"/>
      <c r="G920" s="56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23.25" customHeight="1">
      <c r="A921" s="46"/>
      <c r="B921" s="44"/>
      <c r="C921" s="44"/>
      <c r="D921" s="44"/>
      <c r="E921" s="44"/>
      <c r="F921" s="44"/>
      <c r="G921" s="56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23.25" customHeight="1">
      <c r="A922" s="46"/>
      <c r="B922" s="44"/>
      <c r="C922" s="44"/>
      <c r="D922" s="44"/>
      <c r="E922" s="44"/>
      <c r="F922" s="44"/>
      <c r="G922" s="56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23.25" customHeight="1">
      <c r="A923" s="46"/>
      <c r="B923" s="44"/>
      <c r="C923" s="44"/>
      <c r="D923" s="44"/>
      <c r="E923" s="44"/>
      <c r="F923" s="44"/>
      <c r="G923" s="56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23.25" customHeight="1">
      <c r="A924" s="46"/>
      <c r="B924" s="44"/>
      <c r="C924" s="44"/>
      <c r="D924" s="44"/>
      <c r="E924" s="44"/>
      <c r="F924" s="44"/>
      <c r="G924" s="56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23.25" customHeight="1">
      <c r="A925" s="46"/>
      <c r="B925" s="44"/>
      <c r="C925" s="44"/>
      <c r="D925" s="44"/>
      <c r="E925" s="44"/>
      <c r="F925" s="44"/>
      <c r="G925" s="56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23.25" customHeight="1">
      <c r="A926" s="46"/>
      <c r="B926" s="44"/>
      <c r="C926" s="44"/>
      <c r="D926" s="44"/>
      <c r="E926" s="44"/>
      <c r="F926" s="44"/>
      <c r="G926" s="56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23.25" customHeight="1">
      <c r="A927" s="46"/>
      <c r="B927" s="44"/>
      <c r="C927" s="44"/>
      <c r="D927" s="44"/>
      <c r="E927" s="44"/>
      <c r="F927" s="44"/>
      <c r="G927" s="56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23.25" customHeight="1">
      <c r="A928" s="46"/>
      <c r="B928" s="44"/>
      <c r="C928" s="44"/>
      <c r="D928" s="44"/>
      <c r="E928" s="44"/>
      <c r="F928" s="44"/>
      <c r="G928" s="56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23.25" customHeight="1">
      <c r="A929" s="46"/>
      <c r="B929" s="44"/>
      <c r="C929" s="44"/>
      <c r="D929" s="44"/>
      <c r="E929" s="44"/>
      <c r="F929" s="44"/>
      <c r="G929" s="56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23.25" customHeight="1">
      <c r="A930" s="46"/>
      <c r="B930" s="44"/>
      <c r="C930" s="44"/>
      <c r="D930" s="44"/>
      <c r="E930" s="44"/>
      <c r="F930" s="44"/>
      <c r="G930" s="56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23.25" customHeight="1">
      <c r="A931" s="46"/>
      <c r="B931" s="44"/>
      <c r="C931" s="44"/>
      <c r="D931" s="44"/>
      <c r="E931" s="44"/>
      <c r="F931" s="44"/>
      <c r="G931" s="56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23.25" customHeight="1">
      <c r="A932" s="46"/>
      <c r="B932" s="44"/>
      <c r="C932" s="44"/>
      <c r="D932" s="44"/>
      <c r="E932" s="44"/>
      <c r="F932" s="44"/>
      <c r="G932" s="56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23.25" customHeight="1">
      <c r="A933" s="46"/>
      <c r="B933" s="44"/>
      <c r="C933" s="44"/>
      <c r="D933" s="44"/>
      <c r="E933" s="44"/>
      <c r="F933" s="44"/>
      <c r="G933" s="56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23.25" customHeight="1">
      <c r="A934" s="46"/>
      <c r="B934" s="44"/>
      <c r="C934" s="44"/>
      <c r="D934" s="44"/>
      <c r="E934" s="44"/>
      <c r="F934" s="44"/>
      <c r="G934" s="56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23.25" customHeight="1">
      <c r="A935" s="46"/>
      <c r="B935" s="44"/>
      <c r="C935" s="44"/>
      <c r="D935" s="44"/>
      <c r="E935" s="44"/>
      <c r="F935" s="44"/>
      <c r="G935" s="56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23.25" customHeight="1">
      <c r="A936" s="46"/>
      <c r="B936" s="44"/>
      <c r="C936" s="44"/>
      <c r="D936" s="44"/>
      <c r="E936" s="44"/>
      <c r="F936" s="44"/>
      <c r="G936" s="56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23.25" customHeight="1">
      <c r="A937" s="46"/>
      <c r="B937" s="44"/>
      <c r="C937" s="44"/>
      <c r="D937" s="44"/>
      <c r="E937" s="44"/>
      <c r="F937" s="44"/>
      <c r="G937" s="56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23.25" customHeight="1">
      <c r="A938" s="46"/>
      <c r="B938" s="44"/>
      <c r="C938" s="44"/>
      <c r="D938" s="44"/>
      <c r="E938" s="44"/>
      <c r="F938" s="44"/>
      <c r="G938" s="56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23.25" customHeight="1">
      <c r="A939" s="46"/>
      <c r="B939" s="44"/>
      <c r="C939" s="44"/>
      <c r="D939" s="44"/>
      <c r="E939" s="44"/>
      <c r="F939" s="44"/>
      <c r="G939" s="56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23.25" customHeight="1">
      <c r="A940" s="46"/>
      <c r="B940" s="44"/>
      <c r="C940" s="44"/>
      <c r="D940" s="44"/>
      <c r="E940" s="44"/>
      <c r="F940" s="44"/>
      <c r="G940" s="56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23.25" customHeight="1">
      <c r="A941" s="46"/>
      <c r="B941" s="44"/>
      <c r="C941" s="44"/>
      <c r="D941" s="44"/>
      <c r="E941" s="44"/>
      <c r="F941" s="44"/>
      <c r="G941" s="56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23.25" customHeight="1">
      <c r="A942" s="46"/>
      <c r="B942" s="44"/>
      <c r="C942" s="44"/>
      <c r="D942" s="44"/>
      <c r="E942" s="44"/>
      <c r="F942" s="44"/>
      <c r="G942" s="56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23.25" customHeight="1">
      <c r="A943" s="46"/>
      <c r="B943" s="44"/>
      <c r="C943" s="44"/>
      <c r="D943" s="44"/>
      <c r="E943" s="44"/>
      <c r="F943" s="44"/>
      <c r="G943" s="56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23.25" customHeight="1">
      <c r="A944" s="46"/>
      <c r="B944" s="44"/>
      <c r="C944" s="44"/>
      <c r="D944" s="44"/>
      <c r="E944" s="44"/>
      <c r="F944" s="44"/>
      <c r="G944" s="56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23.25" customHeight="1">
      <c r="A945" s="46"/>
      <c r="B945" s="44"/>
      <c r="C945" s="44"/>
      <c r="D945" s="44"/>
      <c r="E945" s="44"/>
      <c r="F945" s="44"/>
      <c r="G945" s="56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23.25" customHeight="1">
      <c r="A946" s="46"/>
      <c r="B946" s="44"/>
      <c r="C946" s="44"/>
      <c r="D946" s="44"/>
      <c r="E946" s="44"/>
      <c r="F946" s="44"/>
      <c r="G946" s="56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23.25" customHeight="1">
      <c r="A947" s="46"/>
      <c r="B947" s="44"/>
      <c r="C947" s="44"/>
      <c r="D947" s="44"/>
      <c r="E947" s="44"/>
      <c r="F947" s="44"/>
      <c r="G947" s="56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23.25" customHeight="1">
      <c r="A948" s="46"/>
      <c r="B948" s="44"/>
      <c r="C948" s="44"/>
      <c r="D948" s="44"/>
      <c r="E948" s="44"/>
      <c r="F948" s="44"/>
      <c r="G948" s="56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23.25" customHeight="1">
      <c r="A949" s="46"/>
      <c r="B949" s="44"/>
      <c r="C949" s="44"/>
      <c r="D949" s="44"/>
      <c r="E949" s="44"/>
      <c r="F949" s="44"/>
      <c r="G949" s="56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23.25" customHeight="1">
      <c r="A950" s="46"/>
      <c r="B950" s="44"/>
      <c r="C950" s="44"/>
      <c r="D950" s="44"/>
      <c r="E950" s="44"/>
      <c r="F950" s="44"/>
      <c r="G950" s="56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23.25" customHeight="1">
      <c r="A951" s="46"/>
      <c r="B951" s="44"/>
      <c r="C951" s="44"/>
      <c r="D951" s="44"/>
      <c r="E951" s="44"/>
      <c r="F951" s="44"/>
      <c r="G951" s="56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23.25" customHeight="1">
      <c r="A952" s="46"/>
      <c r="B952" s="44"/>
      <c r="C952" s="44"/>
      <c r="D952" s="44"/>
      <c r="E952" s="44"/>
      <c r="F952" s="44"/>
      <c r="G952" s="56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23.25" customHeight="1">
      <c r="A953" s="46"/>
      <c r="B953" s="44"/>
      <c r="C953" s="44"/>
      <c r="D953" s="44"/>
      <c r="E953" s="44"/>
      <c r="F953" s="44"/>
      <c r="G953" s="56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23.25" customHeight="1">
      <c r="A954" s="46"/>
      <c r="B954" s="44"/>
      <c r="C954" s="44"/>
      <c r="D954" s="44"/>
      <c r="E954" s="44"/>
      <c r="F954" s="44"/>
      <c r="G954" s="56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23.25" customHeight="1">
      <c r="A955" s="46"/>
      <c r="B955" s="44"/>
      <c r="C955" s="44"/>
      <c r="D955" s="44"/>
      <c r="E955" s="44"/>
      <c r="F955" s="44"/>
      <c r="G955" s="56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23.25" customHeight="1">
      <c r="A956" s="46"/>
      <c r="B956" s="44"/>
      <c r="C956" s="44"/>
      <c r="D956" s="44"/>
      <c r="E956" s="44"/>
      <c r="F956" s="44"/>
      <c r="G956" s="56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23.25" customHeight="1">
      <c r="A957" s="46"/>
      <c r="B957" s="44"/>
      <c r="C957" s="44"/>
      <c r="D957" s="44"/>
      <c r="E957" s="44"/>
      <c r="F957" s="44"/>
      <c r="G957" s="56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23.25" customHeight="1">
      <c r="A958" s="46"/>
      <c r="B958" s="44"/>
      <c r="C958" s="44"/>
      <c r="D958" s="44"/>
      <c r="E958" s="44"/>
      <c r="F958" s="44"/>
      <c r="G958" s="56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23.25" customHeight="1">
      <c r="A959" s="46"/>
      <c r="B959" s="44"/>
      <c r="C959" s="44"/>
      <c r="D959" s="44"/>
      <c r="E959" s="44"/>
      <c r="F959" s="44"/>
      <c r="G959" s="56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23.25" customHeight="1">
      <c r="A960" s="46"/>
      <c r="B960" s="44"/>
      <c r="C960" s="44"/>
      <c r="D960" s="44"/>
      <c r="E960" s="44"/>
      <c r="F960" s="44"/>
      <c r="G960" s="56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23.25" customHeight="1">
      <c r="A961" s="46"/>
      <c r="B961" s="44"/>
      <c r="C961" s="44"/>
      <c r="D961" s="44"/>
      <c r="E961" s="44"/>
      <c r="F961" s="44"/>
      <c r="G961" s="56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23.25" customHeight="1">
      <c r="A962" s="46"/>
      <c r="B962" s="44"/>
      <c r="C962" s="44"/>
      <c r="D962" s="44"/>
      <c r="E962" s="44"/>
      <c r="F962" s="44"/>
      <c r="G962" s="56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23.25" customHeight="1">
      <c r="A963" s="46"/>
      <c r="B963" s="44"/>
      <c r="C963" s="44"/>
      <c r="D963" s="44"/>
      <c r="E963" s="44"/>
      <c r="F963" s="44"/>
      <c r="G963" s="56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23.25" customHeight="1">
      <c r="A964" s="46"/>
      <c r="B964" s="44"/>
      <c r="C964" s="44"/>
      <c r="D964" s="44"/>
      <c r="E964" s="44"/>
      <c r="F964" s="44"/>
      <c r="G964" s="56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23.25" customHeight="1">
      <c r="A965" s="46"/>
      <c r="B965" s="44"/>
      <c r="C965" s="44"/>
      <c r="D965" s="44"/>
      <c r="E965" s="44"/>
      <c r="F965" s="44"/>
      <c r="G965" s="56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23.25" customHeight="1">
      <c r="A966" s="46"/>
      <c r="B966" s="44"/>
      <c r="C966" s="44"/>
      <c r="D966" s="44"/>
      <c r="E966" s="44"/>
      <c r="F966" s="44"/>
      <c r="G966" s="56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23.25" customHeight="1">
      <c r="A967" s="46"/>
      <c r="B967" s="44"/>
      <c r="C967" s="44"/>
      <c r="D967" s="44"/>
      <c r="E967" s="44"/>
      <c r="F967" s="44"/>
      <c r="G967" s="56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23.25" customHeight="1">
      <c r="A968" s="46"/>
      <c r="B968" s="44"/>
      <c r="C968" s="44"/>
      <c r="D968" s="44"/>
      <c r="E968" s="44"/>
      <c r="F968" s="44"/>
      <c r="G968" s="56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23.25" customHeight="1">
      <c r="A969" s="46"/>
      <c r="B969" s="44"/>
      <c r="C969" s="44"/>
      <c r="D969" s="44"/>
      <c r="E969" s="44"/>
      <c r="F969" s="44"/>
      <c r="G969" s="56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23.25" customHeight="1">
      <c r="A970" s="46"/>
      <c r="B970" s="44"/>
      <c r="C970" s="44"/>
      <c r="D970" s="44"/>
      <c r="E970" s="44"/>
      <c r="F970" s="44"/>
      <c r="G970" s="56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23.25" customHeight="1">
      <c r="A971" s="46"/>
      <c r="B971" s="44"/>
      <c r="C971" s="44"/>
      <c r="D971" s="44"/>
      <c r="E971" s="44"/>
      <c r="F971" s="44"/>
      <c r="G971" s="56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23.25" customHeight="1">
      <c r="A972" s="46"/>
      <c r="B972" s="44"/>
      <c r="C972" s="44"/>
      <c r="D972" s="44"/>
      <c r="E972" s="44"/>
      <c r="F972" s="44"/>
      <c r="G972" s="56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23.25" customHeight="1">
      <c r="A973" s="46"/>
      <c r="B973" s="44"/>
      <c r="C973" s="44"/>
      <c r="D973" s="44"/>
      <c r="E973" s="44"/>
      <c r="F973" s="44"/>
      <c r="G973" s="56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23.25" customHeight="1">
      <c r="A974" s="46"/>
      <c r="B974" s="44"/>
      <c r="C974" s="44"/>
      <c r="D974" s="44"/>
      <c r="E974" s="44"/>
      <c r="F974" s="44"/>
      <c r="G974" s="56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23.25" customHeight="1">
      <c r="A975" s="46"/>
      <c r="B975" s="44"/>
      <c r="C975" s="44"/>
      <c r="D975" s="44"/>
      <c r="E975" s="44"/>
      <c r="F975" s="44"/>
      <c r="G975" s="56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23.25" customHeight="1">
      <c r="A976" s="46"/>
      <c r="B976" s="44"/>
      <c r="C976" s="44"/>
      <c r="D976" s="44"/>
      <c r="E976" s="44"/>
      <c r="F976" s="44"/>
      <c r="G976" s="56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23.25" customHeight="1">
      <c r="A977" s="46"/>
      <c r="B977" s="44"/>
      <c r="C977" s="44"/>
      <c r="D977" s="44"/>
      <c r="E977" s="44"/>
      <c r="F977" s="44"/>
      <c r="G977" s="56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23.25" customHeight="1">
      <c r="A978" s="46"/>
      <c r="B978" s="44"/>
      <c r="C978" s="44"/>
      <c r="D978" s="44"/>
      <c r="E978" s="44"/>
      <c r="F978" s="44"/>
      <c r="G978" s="56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23.25" customHeight="1">
      <c r="A979" s="46"/>
      <c r="B979" s="44"/>
      <c r="C979" s="44"/>
      <c r="D979" s="44"/>
      <c r="E979" s="44"/>
      <c r="F979" s="44"/>
      <c r="G979" s="56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23.25" customHeight="1">
      <c r="A980" s="46"/>
      <c r="B980" s="44"/>
      <c r="C980" s="44"/>
      <c r="D980" s="44"/>
      <c r="E980" s="44"/>
      <c r="F980" s="44"/>
      <c r="G980" s="56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23.25" customHeight="1">
      <c r="A981" s="46"/>
      <c r="B981" s="44"/>
      <c r="C981" s="44"/>
      <c r="D981" s="44"/>
      <c r="E981" s="44"/>
      <c r="F981" s="44"/>
      <c r="G981" s="56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23.25" customHeight="1">
      <c r="A982" s="46"/>
      <c r="B982" s="44"/>
      <c r="C982" s="44"/>
      <c r="D982" s="44"/>
      <c r="E982" s="44"/>
      <c r="F982" s="44"/>
      <c r="G982" s="56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23.25" customHeight="1">
      <c r="A983" s="46"/>
      <c r="B983" s="44"/>
      <c r="C983" s="44"/>
      <c r="D983" s="44"/>
      <c r="E983" s="44"/>
      <c r="F983" s="44"/>
      <c r="G983" s="56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23.25" customHeight="1">
      <c r="A984" s="46"/>
      <c r="B984" s="44"/>
      <c r="C984" s="44"/>
      <c r="D984" s="44"/>
      <c r="E984" s="44"/>
      <c r="F984" s="44"/>
      <c r="G984" s="56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23.25" customHeight="1">
      <c r="A985" s="46"/>
      <c r="B985" s="44"/>
      <c r="C985" s="44"/>
      <c r="D985" s="44"/>
      <c r="E985" s="44"/>
      <c r="F985" s="44"/>
      <c r="G985" s="56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23.25" customHeight="1">
      <c r="A986" s="46"/>
      <c r="B986" s="44"/>
      <c r="C986" s="44"/>
      <c r="D986" s="44"/>
      <c r="E986" s="44"/>
      <c r="F986" s="44"/>
      <c r="G986" s="56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23.25" customHeight="1">
      <c r="A987" s="46"/>
      <c r="B987" s="44"/>
      <c r="C987" s="44"/>
      <c r="D987" s="44"/>
      <c r="E987" s="44"/>
      <c r="F987" s="44"/>
      <c r="G987" s="56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23.25" customHeight="1">
      <c r="A988" s="46"/>
      <c r="B988" s="44"/>
      <c r="C988" s="44"/>
      <c r="D988" s="44"/>
      <c r="E988" s="44"/>
      <c r="F988" s="44"/>
      <c r="G988" s="56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23.25" customHeight="1">
      <c r="A989" s="46"/>
      <c r="B989" s="44"/>
      <c r="C989" s="44"/>
      <c r="D989" s="44"/>
      <c r="E989" s="44"/>
      <c r="F989" s="44"/>
      <c r="G989" s="56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23.25" customHeight="1">
      <c r="A990" s="46"/>
      <c r="B990" s="44"/>
      <c r="C990" s="44"/>
      <c r="D990" s="44"/>
      <c r="E990" s="44"/>
      <c r="F990" s="44"/>
      <c r="G990" s="56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23.25" customHeight="1">
      <c r="A991" s="46"/>
      <c r="B991" s="44"/>
      <c r="C991" s="44"/>
      <c r="D991" s="44"/>
      <c r="E991" s="44"/>
      <c r="F991" s="44"/>
      <c r="G991" s="56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23.25" customHeight="1">
      <c r="A992" s="46"/>
      <c r="B992" s="44"/>
      <c r="C992" s="44"/>
      <c r="D992" s="44"/>
      <c r="E992" s="44"/>
      <c r="F992" s="44"/>
      <c r="G992" s="56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23.25" customHeight="1">
      <c r="A993" s="46"/>
      <c r="B993" s="44"/>
      <c r="C993" s="44"/>
      <c r="D993" s="44"/>
      <c r="E993" s="44"/>
      <c r="F993" s="44"/>
      <c r="G993" s="56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23.25" customHeight="1">
      <c r="A994" s="46"/>
      <c r="B994" s="44"/>
      <c r="C994" s="44"/>
      <c r="D994" s="44"/>
      <c r="E994" s="44"/>
      <c r="F994" s="44"/>
      <c r="G994" s="56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23.25" customHeight="1">
      <c r="A995" s="46"/>
      <c r="B995" s="44"/>
      <c r="C995" s="44"/>
      <c r="D995" s="44"/>
      <c r="E995" s="44"/>
      <c r="F995" s="44"/>
      <c r="G995" s="56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23.25" customHeight="1">
      <c r="A996" s="46"/>
      <c r="B996" s="44"/>
      <c r="C996" s="44"/>
      <c r="D996" s="44"/>
      <c r="E996" s="44"/>
      <c r="F996" s="44"/>
      <c r="G996" s="56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23.25" customHeight="1">
      <c r="A997" s="46"/>
      <c r="B997" s="44"/>
      <c r="C997" s="44"/>
      <c r="D997" s="44"/>
      <c r="E997" s="44"/>
      <c r="F997" s="44"/>
      <c r="G997" s="56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23.25" customHeight="1">
      <c r="A998" s="46"/>
      <c r="B998" s="44"/>
      <c r="C998" s="44"/>
      <c r="D998" s="44"/>
      <c r="E998" s="44"/>
      <c r="F998" s="44"/>
      <c r="G998" s="56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23.25" customHeight="1">
      <c r="A999" s="46"/>
      <c r="B999" s="44"/>
      <c r="C999" s="44"/>
      <c r="D999" s="44"/>
      <c r="E999" s="44"/>
      <c r="F999" s="44"/>
      <c r="G999" s="56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23.25" customHeight="1">
      <c r="A1000" s="46"/>
      <c r="B1000" s="44"/>
      <c r="C1000" s="44"/>
      <c r="D1000" s="44"/>
      <c r="E1000" s="44"/>
      <c r="F1000" s="44"/>
      <c r="G1000" s="56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78">
    <mergeCell ref="A540:F540"/>
    <mergeCell ref="A552:F552"/>
    <mergeCell ref="B553:D555"/>
    <mergeCell ref="A513:F513"/>
    <mergeCell ref="A514:F514"/>
    <mergeCell ref="A515:F515"/>
    <mergeCell ref="A516:F516"/>
    <mergeCell ref="A528:F528"/>
    <mergeCell ref="A453:F453"/>
    <mergeCell ref="A464:F464"/>
    <mergeCell ref="A501:F501"/>
    <mergeCell ref="A502:F502"/>
    <mergeCell ref="A512:F512"/>
    <mergeCell ref="A398:F398"/>
    <mergeCell ref="A409:F409"/>
    <mergeCell ref="A420:F420"/>
    <mergeCell ref="A431:F431"/>
    <mergeCell ref="A442:F442"/>
    <mergeCell ref="A381:F381"/>
    <mergeCell ref="A394:F394"/>
    <mergeCell ref="A395:F395"/>
    <mergeCell ref="A396:F396"/>
    <mergeCell ref="A397:F397"/>
    <mergeCell ref="A360:F360"/>
    <mergeCell ref="A377:F377"/>
    <mergeCell ref="A378:F378"/>
    <mergeCell ref="A379:F379"/>
    <mergeCell ref="A380:F380"/>
    <mergeCell ref="A339:F339"/>
    <mergeCell ref="A356:F356"/>
    <mergeCell ref="A357:F357"/>
    <mergeCell ref="A358:F358"/>
    <mergeCell ref="A359:F359"/>
    <mergeCell ref="A310:F310"/>
    <mergeCell ref="A311:F311"/>
    <mergeCell ref="A324:F324"/>
    <mergeCell ref="A325:F325"/>
    <mergeCell ref="A338:F338"/>
    <mergeCell ref="A293:F293"/>
    <mergeCell ref="A294:F294"/>
    <mergeCell ref="A295:F295"/>
    <mergeCell ref="A296:F296"/>
    <mergeCell ref="A297:F297"/>
    <mergeCell ref="A276:F276"/>
    <mergeCell ref="A277:F277"/>
    <mergeCell ref="A278:F278"/>
    <mergeCell ref="A279:F279"/>
    <mergeCell ref="A280:F280"/>
    <mergeCell ref="A259:F259"/>
    <mergeCell ref="A260:F260"/>
    <mergeCell ref="A261:F261"/>
    <mergeCell ref="A262:F262"/>
    <mergeCell ref="A263:F263"/>
    <mergeCell ref="A218:F218"/>
    <mergeCell ref="A231:F231"/>
    <mergeCell ref="A232:F232"/>
    <mergeCell ref="A245:F245"/>
    <mergeCell ref="A246:F246"/>
    <mergeCell ref="A97:F97"/>
    <mergeCell ref="A109:F109"/>
    <mergeCell ref="A121:F121"/>
    <mergeCell ref="A130:F130"/>
    <mergeCell ref="A217:F217"/>
    <mergeCell ref="A80:F80"/>
    <mergeCell ref="A81:F81"/>
    <mergeCell ref="A82:F82"/>
    <mergeCell ref="A83:F83"/>
    <mergeCell ref="A84:F84"/>
    <mergeCell ref="A63:F63"/>
    <mergeCell ref="A64:F64"/>
    <mergeCell ref="A65:F65"/>
    <mergeCell ref="A66:F66"/>
    <mergeCell ref="A67:F67"/>
    <mergeCell ref="A1:G1"/>
    <mergeCell ref="A13:G13"/>
    <mergeCell ref="A25:G25"/>
    <mergeCell ref="A49:F49"/>
    <mergeCell ref="A50:F50"/>
  </mergeCells>
  <pageMargins left="0" right="0" top="0" bottom="0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المواد الخام</vt:lpstr>
      <vt:lpstr>المنتجات النهائية</vt:lpstr>
      <vt:lpstr>المراحل</vt:lpstr>
      <vt:lpstr>المواد الخام - مفصلة</vt:lpstr>
      <vt:lpstr>مكونات التصنيع </vt:lpstr>
      <vt:lpstr>تخصيمات UPVC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up 1731</cp:lastModifiedBy>
  <cp:revision>0</cp:revision>
  <dcterms:created xsi:type="dcterms:W3CDTF">2026-08-22T19:13:52Z</dcterms:created>
  <dcterms:modified xsi:type="dcterms:W3CDTF">2026-10-24T10:41:11Z</dcterms:modified>
  <dc:language>en-US</dc:language>
</cp:coreProperties>
</file>